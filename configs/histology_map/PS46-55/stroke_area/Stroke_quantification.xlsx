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2/Documents/data/Immuno/"/>
    </mc:Choice>
  </mc:AlternateContent>
  <xr:revisionPtr revIDLastSave="0" documentId="13_ncr:1_{42421188-17CD-2A4B-A178-882D11316CFE}" xr6:coauthVersionLast="47" xr6:coauthVersionMax="47" xr10:uidLastSave="{00000000-0000-0000-0000-000000000000}"/>
  <bookViews>
    <workbookView xWindow="1100" yWindow="820" windowWidth="28040" windowHeight="17440" xr2:uid="{C50A0A7B-3627-9143-A53B-5108963D2DB9}"/>
  </bookViews>
  <sheets>
    <sheet name="Stroke area raw" sheetId="1" r:id="rId1"/>
    <sheet name="Stroke area" sheetId="2" r:id="rId2"/>
    <sheet name="Weigh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8" i="1"/>
  <c r="F47" i="1"/>
  <c r="F46" i="1"/>
  <c r="F45" i="1"/>
  <c r="F26" i="1"/>
  <c r="F25" i="1"/>
  <c r="F24" i="1"/>
  <c r="F23" i="1"/>
  <c r="F22" i="1"/>
  <c r="F21" i="1"/>
  <c r="F20" i="1"/>
  <c r="F19" i="1"/>
  <c r="F18" i="1"/>
  <c r="F17" i="1"/>
  <c r="F16" i="1"/>
  <c r="B32" i="2"/>
  <c r="B31" i="2"/>
  <c r="B30" i="2"/>
  <c r="B29" i="2"/>
  <c r="B28" i="2"/>
  <c r="F40" i="1"/>
  <c r="F50" i="1"/>
  <c r="F28" i="1"/>
  <c r="F29" i="1"/>
  <c r="F30" i="1"/>
  <c r="F31" i="1"/>
  <c r="F32" i="1"/>
  <c r="F33" i="1"/>
  <c r="F34" i="1"/>
  <c r="F35" i="1"/>
  <c r="F36" i="1"/>
  <c r="F37" i="1"/>
  <c r="F38" i="1"/>
  <c r="F39" i="1"/>
  <c r="F41" i="1"/>
  <c r="F42" i="1"/>
  <c r="F43" i="1"/>
  <c r="F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<sst xmlns="http://schemas.openxmlformats.org/spreadsheetml/2006/main" count="193" uniqueCount="79">
  <si>
    <t>Animal</t>
  </si>
  <si>
    <t>Image</t>
  </si>
  <si>
    <t>PS46</t>
  </si>
  <si>
    <t>PS46_1_8</t>
  </si>
  <si>
    <t>PS46_1_7</t>
  </si>
  <si>
    <t>PS46_1_1</t>
  </si>
  <si>
    <t>PS46_2_3</t>
  </si>
  <si>
    <t>PS46_2_2</t>
  </si>
  <si>
    <t>PS47</t>
  </si>
  <si>
    <t>PS47_1_8</t>
  </si>
  <si>
    <t>PS47_1_4</t>
  </si>
  <si>
    <t>PS47_1_3</t>
  </si>
  <si>
    <t>PS47_2_6</t>
  </si>
  <si>
    <t>PS48</t>
  </si>
  <si>
    <t>PS48_1_8</t>
  </si>
  <si>
    <t>PS48_1_6</t>
  </si>
  <si>
    <t>PS48_1_4</t>
  </si>
  <si>
    <t>PS48_2_1</t>
  </si>
  <si>
    <t>PS47_3_4</t>
  </si>
  <si>
    <t>Ipsi/Contra</t>
  </si>
  <si>
    <t>PS51</t>
  </si>
  <si>
    <t>PS55</t>
  </si>
  <si>
    <t>PS54</t>
  </si>
  <si>
    <t>PS55_1_10</t>
  </si>
  <si>
    <t>PS55_1_11</t>
  </si>
  <si>
    <t>PS55_1_14</t>
  </si>
  <si>
    <t>PS55_1_15</t>
  </si>
  <si>
    <t>PS55_1_16</t>
  </si>
  <si>
    <t>PS55_1_17</t>
  </si>
  <si>
    <t>PS55_1_18</t>
  </si>
  <si>
    <t>Ipsi striatum Area (um^2)</t>
  </si>
  <si>
    <t>Contra striatum Area (um^2)</t>
  </si>
  <si>
    <t>Stroke Area (um^2)</t>
  </si>
  <si>
    <t>PS55_1_19</t>
  </si>
  <si>
    <t>PS55_1_20</t>
  </si>
  <si>
    <t>PS55_2_1</t>
  </si>
  <si>
    <t>PS51_1_25</t>
  </si>
  <si>
    <t>PS51_2_1</t>
  </si>
  <si>
    <t>PS51_2_2</t>
  </si>
  <si>
    <t>PS51_2_3</t>
  </si>
  <si>
    <t>PS51_2_5</t>
  </si>
  <si>
    <t>PS54_1_16</t>
  </si>
  <si>
    <t>PS54_1_17</t>
  </si>
  <si>
    <t>PS54_1_18</t>
  </si>
  <si>
    <t>PS54_1_19</t>
  </si>
  <si>
    <t>PS54_1_20</t>
  </si>
  <si>
    <t>PS54_2_1</t>
  </si>
  <si>
    <t>PS54_2_5</t>
  </si>
  <si>
    <t>Use?</t>
  </si>
  <si>
    <t>PS54_2_8</t>
  </si>
  <si>
    <t>ok</t>
  </si>
  <si>
    <t>good</t>
  </si>
  <si>
    <t>meh</t>
  </si>
  <si>
    <t>no</t>
  </si>
  <si>
    <t>ok (a bit anterior)</t>
  </si>
  <si>
    <t>too anterior</t>
  </si>
  <si>
    <t>anterior</t>
  </si>
  <si>
    <t>meh (anterior)</t>
  </si>
  <si>
    <t>too posterior</t>
  </si>
  <si>
    <t>PS49</t>
  </si>
  <si>
    <t>Ipsi/Contra % area</t>
  </si>
  <si>
    <t>Section</t>
  </si>
  <si>
    <t>PS50</t>
  </si>
  <si>
    <t>Weight (g)</t>
  </si>
  <si>
    <t>Last pre-stroke session - PS51 2025-04-29; PS54-55 2025-04-30; PS46-48 2025-03-13; PS49: 2025-03-17; PS50: 2025-03-23</t>
  </si>
  <si>
    <t>PS49_1_2</t>
  </si>
  <si>
    <t>PS49_2_1</t>
  </si>
  <si>
    <t>PS49_2_4</t>
  </si>
  <si>
    <t>PS49_2_6</t>
  </si>
  <si>
    <t>PS49_2_9</t>
  </si>
  <si>
    <t>good, a bit anterior</t>
  </si>
  <si>
    <t>PS49_2_8</t>
  </si>
  <si>
    <t>PS49_2_10</t>
  </si>
  <si>
    <t>PS50_1_1</t>
  </si>
  <si>
    <t>PS50_1_2</t>
  </si>
  <si>
    <t>PS50_1_0</t>
  </si>
  <si>
    <t>PS50_2_1</t>
  </si>
  <si>
    <t>good, too anterior</t>
  </si>
  <si>
    <t>PS46_1_8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</si>
</sst>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/>
    <xf numFmtId="2" fontId="1" fillId="0" borderId="0" xfId="0" applyNumberFormat="1" applyFont="1"/>
    <xf numFmtId="2" fontId="4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area'!$F$2:$F$9</c:f>
              <c:numCache>
                <c:formatCode>0.00</c:formatCode>
                <c:ptCount val="8"/>
                <c:pt idx="0">
                  <c:v>73.36634997132208</c:v>
                </c:pt>
                <c:pt idx="1">
                  <c:v>90.049938263357532</c:v>
                </c:pt>
                <c:pt idx="2">
                  <c:v>82.779547479322872</c:v>
                </c:pt>
                <c:pt idx="3">
                  <c:v>68.604352361087564</c:v>
                </c:pt>
                <c:pt idx="4">
                  <c:v>73.472596836645465</c:v>
                </c:pt>
                <c:pt idx="5">
                  <c:v>63.132362249844235</c:v>
                </c:pt>
                <c:pt idx="6">
                  <c:v>37.092869982092125</c:v>
                </c:pt>
                <c:pt idx="7">
                  <c:v>20.722037394155592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E-E847-B8A6-A5CCEB7FD8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area'!$G$2:$G$9</c:f>
              <c:numCache>
                <c:formatCode>0.00</c:formatCode>
                <c:ptCount val="8"/>
                <c:pt idx="0">
                  <c:v>73.27</c:v>
                </c:pt>
                <c:pt idx="1">
                  <c:v>86.747407486180094</c:v>
                </c:pt>
                <c:pt idx="2">
                  <c:v>80.865121244353674</c:v>
                </c:pt>
                <c:pt idx="3">
                  <c:v>64.515219487444796</c:v>
                </c:pt>
                <c:pt idx="4">
                  <c:v>77.128043025160338</c:v>
                </c:pt>
                <c:pt idx="5">
                  <c:v>64.580310266944238</c:v>
                </c:pt>
                <c:pt idx="6">
                  <c:v>22.227116531567962</c:v>
                </c:pt>
                <c:pt idx="7">
                  <c:v>20.353676211271807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CE-E847-B8A6-A5CCEB7FD8E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area'!$H$2:$H$9</c:f>
              <c:numCache>
                <c:formatCode>0.00</c:formatCode>
                <c:ptCount val="8"/>
                <c:pt idx="0">
                  <c:v>89.24</c:v>
                </c:pt>
                <c:pt idx="1">
                  <c:v>80.125179217288249</c:v>
                </c:pt>
                <c:pt idx="2">
                  <c:v>85.728541222096794</c:v>
                </c:pt>
                <c:pt idx="3">
                  <c:v>61.542257577083227</c:v>
                </c:pt>
                <c:pt idx="4">
                  <c:v>78.061463906529852</c:v>
                </c:pt>
                <c:pt idx="5">
                  <c:v>56.163525061485664</c:v>
                </c:pt>
                <c:pt idx="6">
                  <c:v>16.907928026150863</c:v>
                </c:pt>
                <c:pt idx="7">
                  <c:v>15.851347170561835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CE-E847-B8A6-A5CCEB7FD8E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area'!$I$2:$I$9</c:f>
              <c:numCache>
                <c:formatCode>0.00</c:formatCode>
                <c:ptCount val="8"/>
                <c:pt idx="0">
                  <c:v>88.09</c:v>
                </c:pt>
                <c:pt idx="1">
                  <c:v>78.495281160846829</c:v>
                </c:pt>
                <c:pt idx="2">
                  <c:v>69.179836969401038</c:v>
                </c:pt>
                <c:pt idx="3">
                  <c:v>62.279999408987521</c:v>
                </c:pt>
                <c:pt idx="4">
                  <c:v>78.577985682745705</c:v>
                </c:pt>
                <c:pt idx="5">
                  <c:v>70.112060512380552</c:v>
                </c:pt>
                <c:pt idx="6">
                  <c:v>25.449469654893164</c:v>
                </c:pt>
                <c:pt idx="7">
                  <c:v>16.956776959125076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CE-E847-B8A6-A5CCEB7FD8E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area'!$J$2:$J$9</c:f>
              <c:numCache>
                <c:formatCode>0.00</c:formatCode>
                <c:ptCount val="8"/>
                <c:pt idx="1">
                  <c:v>91.886222150798631</c:v>
                </c:pt>
                <c:pt idx="3">
                  <c:v>70.721139472378738</c:v>
                </c:pt>
                <c:pt idx="6">
                  <c:v>21.545453833086782</c:v>
                </c:pt>
                <c:pt idx="7">
                  <c:v>18.14088045954826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CE-E847-B8A6-A5CCEB7FD8EC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area'!$K$2:$K$9</c:f>
              <c:numCache>
                <c:formatCode>General</c:formatCode>
                <c:ptCount val="8"/>
                <c:pt idx="3" formatCode="0.00">
                  <c:v>67.406083996085727</c:v>
                </c:pt>
                <c:pt idx="6" formatCode="0.00">
                  <c:v>25.118883015794342</c:v>
                </c:pt>
                <c:pt idx="7" formatCode="0.00">
                  <c:v>26.101862169375934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CE-E847-B8A6-A5CCEB7FD8EC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area'!$L$2:$L$9</c:f>
              <c:numCache>
                <c:formatCode>General</c:formatCode>
                <c:ptCount val="8"/>
                <c:pt idx="7" formatCode="0.00">
                  <c:v>18.16992958494879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CE-E847-B8A6-A5CCEB7FD8EC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'Stroke area'!$E$2:$E$9</c:f>
              <c:strCache>
                <c:ptCount val="8"/>
                <c:pt idx="0">
                  <c:v>PS46</c:v>
                </c:pt>
                <c:pt idx="1">
                  <c:v>PS47</c:v>
                </c:pt>
                <c:pt idx="2">
                  <c:v>PS48</c:v>
                </c:pt>
                <c:pt idx="3">
                  <c:v>PS49</c:v>
                </c:pt>
                <c:pt idx="4">
                  <c:v>PS50</c:v>
                </c:pt>
                <c:pt idx="5">
                  <c:v>PS51</c:v>
                </c:pt>
                <c:pt idx="6">
                  <c:v>PS54</c:v>
                </c:pt>
                <c:pt idx="7">
                  <c:v>PS55</c:v>
                </c:pt>
              </c:strCache>
            </c:strRef>
          </c:xVal>
          <c:yVal>
            <c:numRef>
              <c:f>'Stroke area'!$M$2:$M$9</c:f>
              <c:numCache>
                <c:formatCode>General</c:formatCode>
                <c:ptCount val="8"/>
                <c:pt idx="7" formatCode="0.00">
                  <c:v>18.798535403148321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CE-E847-B8A6-A5CCEB7FD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48383"/>
        <c:axId val="862636559"/>
      </c:scatterChart>
      <c:valAx>
        <c:axId val="86264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36559"/>
        <c:crosses val="autoZero"/>
        <c:crossBetween val="midCat"/>
      </c:valAx>
      <c:valAx>
        <c:axId val="8626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48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626534</xdr:colOff>
      <xdr:row>7</xdr:row>
      <xdr:rowOff>186266</xdr:rowOff>
    </xdr:from>
    <xdr:to>
      <xdr:col>9</xdr:col>
      <xdr:colOff>651934</xdr:colOff>
      <xdr:row>21</xdr:row>
      <xdr:rowOff>84666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4689A-5E4F-849F-AA81-E78FE11F1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AD84-253B-D244-8FEB-06FFEAB839E9}">
  <dimension ref="A1:G50"/>
  <sheetViews>
    <sheetView tabSelected="1" zoomScale="162" zoomScaleNormal="147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17" sqref="B17"/>
    </sheetView>
  </sheetViews>
  <sheetFormatPr baseColWidth="10" defaultRowHeight="16" x14ac:dyDescent="0.2"/>
  <cols>
    <col min="1" max="1" width="6.83203125" style="6" customWidth="1"/>
    <col min="3" max="3" width="14.33203125" customWidth="1"/>
    <col min="4" max="4" width="16" customWidth="1"/>
    <col min="5" max="5" width="14.1640625" customWidth="1"/>
  </cols>
  <sheetData>
    <row r="1" spans="1:7" s="2" customFormat="1" ht="34" x14ac:dyDescent="0.2">
      <c r="A1" s="2" t="s">
        <v>0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19</v>
      </c>
      <c r="G1" s="2" t="s">
        <v>48</v>
      </c>
    </row>
    <row r="2" spans="1:7" x14ac:dyDescent="0.2">
      <c r="A2" s="6" t="s">
        <v>2</v>
      </c>
      <c r="B2" t="s">
        <v>78</v>
      </c>
      <c r="C2">
        <v>3325070.1593999998</v>
      </c>
      <c r="D2">
        <v>4532146.0870000003</v>
      </c>
      <c r="E2">
        <v>595391.90599999996</v>
      </c>
      <c r="F2" s="1">
        <f>C2/D2*100</f>
        <v>73.36634997132208</v>
      </c>
      <c r="G2" t="s">
        <v>50</v>
      </c>
    </row>
    <row r="3" spans="1:7" x14ac:dyDescent="0.2">
      <c r="B3" t="s">
        <v>4</v>
      </c>
      <c r="C3">
        <v>3233371.6546</v>
      </c>
      <c r="D3">
        <v>4413210.8885000004</v>
      </c>
      <c r="E3">
        <v>435696.74790000002</v>
      </c>
      <c r="F3" s="1">
        <f t="shared" ref="F3:F50" si="0">C3/D3*100</f>
        <v>73.265740892318561</v>
      </c>
      <c r="G3" t="s">
        <v>50</v>
      </c>
    </row>
    <row r="4" spans="1:7" x14ac:dyDescent="0.2">
      <c r="B4" t="s">
        <v>5</v>
      </c>
      <c r="C4">
        <v>4212963.8800999997</v>
      </c>
      <c r="D4">
        <v>4721058.8728</v>
      </c>
      <c r="E4">
        <v>738068.37639999995</v>
      </c>
      <c r="F4" s="1">
        <f t="shared" si="0"/>
        <v>89.237689967660671</v>
      </c>
      <c r="G4" t="s">
        <v>51</v>
      </c>
    </row>
    <row r="5" spans="1:7" x14ac:dyDescent="0.2">
      <c r="B5" t="s">
        <v>6</v>
      </c>
      <c r="C5">
        <v>3470603.1568999998</v>
      </c>
      <c r="D5">
        <v>3939886.5868000002</v>
      </c>
      <c r="E5">
        <v>601415.0808</v>
      </c>
      <c r="F5" s="1">
        <f t="shared" si="0"/>
        <v>88.088910186596124</v>
      </c>
      <c r="G5" t="s">
        <v>52</v>
      </c>
    </row>
    <row r="6" spans="1:7" x14ac:dyDescent="0.2">
      <c r="B6" s="3" t="s">
        <v>7</v>
      </c>
      <c r="C6" s="3">
        <v>3981522.5663000001</v>
      </c>
      <c r="D6" s="3">
        <v>3871640.5843000002</v>
      </c>
      <c r="E6" s="3">
        <v>571020.45739999996</v>
      </c>
      <c r="F6" s="4">
        <f t="shared" si="0"/>
        <v>102.83812455230441</v>
      </c>
      <c r="G6" s="3" t="s">
        <v>53</v>
      </c>
    </row>
    <row r="7" spans="1:7" x14ac:dyDescent="0.2">
      <c r="A7" s="6" t="s">
        <v>8</v>
      </c>
      <c r="B7" t="s">
        <v>9</v>
      </c>
      <c r="C7">
        <v>3780704.017</v>
      </c>
      <c r="D7">
        <v>4198452.6474000001</v>
      </c>
      <c r="E7">
        <v>391022.44959999999</v>
      </c>
      <c r="F7" s="1">
        <f t="shared" si="0"/>
        <v>90.049938263357532</v>
      </c>
      <c r="G7" t="s">
        <v>50</v>
      </c>
    </row>
    <row r="8" spans="1:7" x14ac:dyDescent="0.2">
      <c r="B8" t="s">
        <v>10</v>
      </c>
      <c r="C8">
        <v>3602130.5888</v>
      </c>
      <c r="D8">
        <v>4152436.0129999998</v>
      </c>
      <c r="E8">
        <v>328266.75599999999</v>
      </c>
      <c r="F8" s="1">
        <f t="shared" si="0"/>
        <v>86.747407486180094</v>
      </c>
      <c r="G8" t="s">
        <v>52</v>
      </c>
    </row>
    <row r="9" spans="1:7" x14ac:dyDescent="0.2">
      <c r="B9" t="s">
        <v>11</v>
      </c>
      <c r="C9">
        <v>3451356.2982999999</v>
      </c>
      <c r="D9">
        <v>4307455.3243000004</v>
      </c>
      <c r="E9">
        <v>442831.97019999998</v>
      </c>
      <c r="F9" s="1">
        <f t="shared" si="0"/>
        <v>80.125179217288249</v>
      </c>
      <c r="G9" t="s">
        <v>51</v>
      </c>
    </row>
    <row r="10" spans="1:7" x14ac:dyDescent="0.2">
      <c r="B10" t="s">
        <v>12</v>
      </c>
      <c r="C10">
        <v>3461188.0090999999</v>
      </c>
      <c r="D10">
        <v>4409421.7613000004</v>
      </c>
      <c r="E10">
        <v>441280.55940000003</v>
      </c>
      <c r="F10" s="1">
        <f t="shared" si="0"/>
        <v>78.495281160846829</v>
      </c>
      <c r="G10" t="s">
        <v>50</v>
      </c>
    </row>
    <row r="11" spans="1:7" x14ac:dyDescent="0.2">
      <c r="B11" t="s">
        <v>18</v>
      </c>
      <c r="C11">
        <v>3397087.0948000001</v>
      </c>
      <c r="D11">
        <v>3697058.1826999998</v>
      </c>
      <c r="E11">
        <v>258231.62059999999</v>
      </c>
      <c r="F11" s="1">
        <f t="shared" si="0"/>
        <v>91.886222150798631</v>
      </c>
      <c r="G11" t="s">
        <v>52</v>
      </c>
    </row>
    <row r="12" spans="1:7" x14ac:dyDescent="0.2">
      <c r="A12" s="6" t="s">
        <v>13</v>
      </c>
      <c r="B12" t="s">
        <v>14</v>
      </c>
      <c r="C12">
        <v>3765293.4476999999</v>
      </c>
      <c r="D12">
        <v>4548579.4044000003</v>
      </c>
      <c r="E12">
        <v>501481.3898</v>
      </c>
      <c r="F12" s="1">
        <f t="shared" si="0"/>
        <v>82.779547479322872</v>
      </c>
      <c r="G12" t="s">
        <v>51</v>
      </c>
    </row>
    <row r="13" spans="1:7" x14ac:dyDescent="0.2">
      <c r="B13" t="s">
        <v>15</v>
      </c>
      <c r="C13">
        <v>3982829.1734000002</v>
      </c>
      <c r="D13">
        <v>4925274.4720000001</v>
      </c>
      <c r="E13">
        <v>585355.94220000005</v>
      </c>
      <c r="F13" s="1">
        <f t="shared" si="0"/>
        <v>80.865121244353674</v>
      </c>
      <c r="G13" t="s">
        <v>50</v>
      </c>
    </row>
    <row r="14" spans="1:7" x14ac:dyDescent="0.2">
      <c r="B14" t="s">
        <v>16</v>
      </c>
      <c r="C14">
        <v>3231733.1776999999</v>
      </c>
      <c r="D14">
        <v>3769728.4144000001</v>
      </c>
      <c r="E14">
        <v>746730.30429999996</v>
      </c>
      <c r="F14" s="1">
        <f t="shared" si="0"/>
        <v>85.728541222096794</v>
      </c>
      <c r="G14" t="s">
        <v>51</v>
      </c>
    </row>
    <row r="15" spans="1:7" x14ac:dyDescent="0.2">
      <c r="B15" t="s">
        <v>17</v>
      </c>
      <c r="C15">
        <v>3676099.2969999998</v>
      </c>
      <c r="D15">
        <v>5313830.5292999996</v>
      </c>
      <c r="E15">
        <v>767266.40590000001</v>
      </c>
      <c r="F15" s="1">
        <f t="shared" si="0"/>
        <v>69.179836969401038</v>
      </c>
      <c r="G15" t="s">
        <v>50</v>
      </c>
    </row>
    <row r="16" spans="1:7" x14ac:dyDescent="0.2">
      <c r="A16" s="6" t="s">
        <v>59</v>
      </c>
      <c r="B16" s="3" t="s">
        <v>65</v>
      </c>
      <c r="C16" s="3">
        <v>2903703.2582999999</v>
      </c>
      <c r="D16" s="3">
        <v>3756173.3558999998</v>
      </c>
      <c r="E16" s="3">
        <v>994735.47019999998</v>
      </c>
      <c r="F16" s="4">
        <f t="shared" si="0"/>
        <v>77.304825501171706</v>
      </c>
      <c r="G16" s="3" t="s">
        <v>77</v>
      </c>
    </row>
    <row r="17" spans="1:7" x14ac:dyDescent="0.2">
      <c r="B17" t="s">
        <v>66</v>
      </c>
      <c r="C17">
        <v>3372353.4533000002</v>
      </c>
      <c r="D17">
        <v>4915655.2569000004</v>
      </c>
      <c r="E17">
        <v>1018006.817</v>
      </c>
      <c r="F17" s="1">
        <f t="shared" si="0"/>
        <v>68.604352361087564</v>
      </c>
      <c r="G17" t="s">
        <v>51</v>
      </c>
    </row>
    <row r="18" spans="1:7" x14ac:dyDescent="0.2">
      <c r="B18" t="s">
        <v>67</v>
      </c>
      <c r="C18">
        <v>3317089.2651999998</v>
      </c>
      <c r="D18">
        <v>5141560.8465</v>
      </c>
      <c r="E18">
        <v>712599.87029999995</v>
      </c>
      <c r="F18" s="1">
        <f t="shared" si="0"/>
        <v>64.515219487444796</v>
      </c>
      <c r="G18" t="s">
        <v>51</v>
      </c>
    </row>
    <row r="19" spans="1:7" x14ac:dyDescent="0.2">
      <c r="B19" t="s">
        <v>68</v>
      </c>
      <c r="C19">
        <v>3145200.6302</v>
      </c>
      <c r="D19">
        <v>5110635.7713000001</v>
      </c>
      <c r="E19">
        <v>924585.49939999997</v>
      </c>
      <c r="F19" s="1">
        <f t="shared" si="0"/>
        <v>61.542257577083227</v>
      </c>
      <c r="G19" t="s">
        <v>51</v>
      </c>
    </row>
    <row r="20" spans="1:7" x14ac:dyDescent="0.2">
      <c r="B20" t="s">
        <v>71</v>
      </c>
      <c r="C20">
        <v>3440780.3349000001</v>
      </c>
      <c r="D20">
        <v>5524695.5163000003</v>
      </c>
      <c r="E20">
        <v>911910.4841</v>
      </c>
      <c r="F20" s="1">
        <f t="shared" si="0"/>
        <v>62.279999408987521</v>
      </c>
      <c r="G20" t="s">
        <v>51</v>
      </c>
    </row>
    <row r="21" spans="1:7" x14ac:dyDescent="0.2">
      <c r="B21" t="s">
        <v>69</v>
      </c>
      <c r="C21">
        <v>3160827.0959999999</v>
      </c>
      <c r="D21">
        <v>4469423.3147</v>
      </c>
      <c r="E21">
        <v>1066207.0496</v>
      </c>
      <c r="F21" s="1">
        <f t="shared" si="0"/>
        <v>70.721139472378738</v>
      </c>
      <c r="G21" t="s">
        <v>70</v>
      </c>
    </row>
    <row r="22" spans="1:7" x14ac:dyDescent="0.2">
      <c r="B22" t="s">
        <v>72</v>
      </c>
      <c r="C22">
        <v>3083267.5543999998</v>
      </c>
      <c r="D22">
        <v>4574168.0448000003</v>
      </c>
      <c r="E22">
        <v>989950.79180000001</v>
      </c>
      <c r="F22" s="1">
        <f t="shared" si="0"/>
        <v>67.406083996085727</v>
      </c>
      <c r="G22" t="s">
        <v>70</v>
      </c>
    </row>
    <row r="23" spans="1:7" x14ac:dyDescent="0.2">
      <c r="A23" s="6" t="s">
        <v>62</v>
      </c>
      <c r="B23" t="s">
        <v>73</v>
      </c>
      <c r="C23">
        <v>2915204.1885000002</v>
      </c>
      <c r="D23">
        <v>3967743.5044</v>
      </c>
      <c r="E23">
        <v>664535.89280000003</v>
      </c>
      <c r="F23" s="1">
        <f t="shared" si="0"/>
        <v>73.472596836645465</v>
      </c>
      <c r="G23" t="s">
        <v>70</v>
      </c>
    </row>
    <row r="24" spans="1:7" x14ac:dyDescent="0.2">
      <c r="B24" t="s">
        <v>74</v>
      </c>
      <c r="C24">
        <v>3169538.1277000001</v>
      </c>
      <c r="D24">
        <v>4109449.6935000001</v>
      </c>
      <c r="E24">
        <v>674350.7317</v>
      </c>
      <c r="F24" s="1">
        <f t="shared" si="0"/>
        <v>77.128043025160338</v>
      </c>
      <c r="G24" t="s">
        <v>50</v>
      </c>
    </row>
    <row r="25" spans="1:7" x14ac:dyDescent="0.2">
      <c r="B25" t="s">
        <v>75</v>
      </c>
      <c r="C25">
        <v>2768951.1405000002</v>
      </c>
      <c r="D25">
        <v>3547142.2157999999</v>
      </c>
      <c r="E25">
        <v>509325.41110000003</v>
      </c>
      <c r="F25" s="1">
        <f t="shared" si="0"/>
        <v>78.061463906529852</v>
      </c>
      <c r="G25" t="s">
        <v>70</v>
      </c>
    </row>
    <row r="26" spans="1:7" x14ac:dyDescent="0.2">
      <c r="B26" t="s">
        <v>76</v>
      </c>
      <c r="C26">
        <v>4305114.8373999996</v>
      </c>
      <c r="D26">
        <v>5478779.8388999999</v>
      </c>
      <c r="E26">
        <v>589536.78870000003</v>
      </c>
      <c r="F26" s="1">
        <f t="shared" si="0"/>
        <v>78.577985682745705</v>
      </c>
      <c r="G26" t="s">
        <v>52</v>
      </c>
    </row>
    <row r="27" spans="1:7" x14ac:dyDescent="0.2">
      <c r="F27" s="1"/>
    </row>
    <row r="28" spans="1:7" x14ac:dyDescent="0.2">
      <c r="A28" s="6" t="s">
        <v>20</v>
      </c>
      <c r="B28" t="s">
        <v>36</v>
      </c>
      <c r="C28">
        <v>3689476.7925999998</v>
      </c>
      <c r="D28">
        <v>5844034.1231000004</v>
      </c>
      <c r="E28">
        <v>722598.10869999998</v>
      </c>
      <c r="F28" s="1">
        <f t="shared" si="0"/>
        <v>63.132362249844235</v>
      </c>
      <c r="G28" t="s">
        <v>51</v>
      </c>
    </row>
    <row r="29" spans="1:7" x14ac:dyDescent="0.2">
      <c r="B29" t="s">
        <v>37</v>
      </c>
      <c r="C29">
        <v>3505246.2080999999</v>
      </c>
      <c r="D29">
        <v>5427732.0651000002</v>
      </c>
      <c r="E29">
        <v>651376.17409999995</v>
      </c>
      <c r="F29" s="1">
        <f t="shared" si="0"/>
        <v>64.580310266944238</v>
      </c>
      <c r="G29" t="s">
        <v>51</v>
      </c>
    </row>
    <row r="30" spans="1:7" x14ac:dyDescent="0.2">
      <c r="B30" t="s">
        <v>38</v>
      </c>
      <c r="C30">
        <v>2933494.8319000001</v>
      </c>
      <c r="D30">
        <v>5223131.6119999997</v>
      </c>
      <c r="E30">
        <v>565814.10499999998</v>
      </c>
      <c r="F30" s="1">
        <f t="shared" si="0"/>
        <v>56.163525061485664</v>
      </c>
      <c r="G30" t="s">
        <v>50</v>
      </c>
    </row>
    <row r="31" spans="1:7" x14ac:dyDescent="0.2">
      <c r="B31" t="s">
        <v>39</v>
      </c>
      <c r="C31">
        <v>3517085.3659000001</v>
      </c>
      <c r="D31">
        <v>5016377.1256999997</v>
      </c>
      <c r="E31">
        <v>499723.9045</v>
      </c>
      <c r="F31" s="1">
        <f t="shared" si="0"/>
        <v>70.112060512380552</v>
      </c>
      <c r="G31" t="s">
        <v>54</v>
      </c>
    </row>
    <row r="32" spans="1:7" x14ac:dyDescent="0.2">
      <c r="B32" s="3" t="s">
        <v>40</v>
      </c>
      <c r="C32" s="3">
        <v>3565465.1187</v>
      </c>
      <c r="D32" s="3">
        <v>4867423.6226000004</v>
      </c>
      <c r="E32" s="3">
        <v>258363.3113</v>
      </c>
      <c r="F32" s="4">
        <f t="shared" si="0"/>
        <v>73.251588420312146</v>
      </c>
      <c r="G32" s="3" t="s">
        <v>55</v>
      </c>
    </row>
    <row r="33" spans="1:7" x14ac:dyDescent="0.2">
      <c r="A33" s="6" t="s">
        <v>22</v>
      </c>
      <c r="B33" s="3" t="s">
        <v>41</v>
      </c>
      <c r="C33" s="3">
        <v>2347080.0273000002</v>
      </c>
      <c r="D33" s="3">
        <v>4711578.5056999996</v>
      </c>
      <c r="E33" s="3">
        <v>623285.15850000002</v>
      </c>
      <c r="F33" s="4">
        <f t="shared" si="0"/>
        <v>49.815152702232105</v>
      </c>
      <c r="G33" s="3" t="s">
        <v>56</v>
      </c>
    </row>
    <row r="34" spans="1:7" x14ac:dyDescent="0.2">
      <c r="B34" s="3" t="s">
        <v>42</v>
      </c>
      <c r="C34" s="3">
        <v>2182665.6165</v>
      </c>
      <c r="D34" s="3">
        <v>5116583.3289999999</v>
      </c>
      <c r="E34" s="3">
        <v>1070350.6617999999</v>
      </c>
      <c r="F34" s="4">
        <f t="shared" si="0"/>
        <v>42.65865473408769</v>
      </c>
      <c r="G34" s="3" t="s">
        <v>56</v>
      </c>
    </row>
    <row r="35" spans="1:7" x14ac:dyDescent="0.2">
      <c r="B35" t="s">
        <v>43</v>
      </c>
      <c r="C35">
        <v>2010191.8241000001</v>
      </c>
      <c r="D35">
        <v>5419348.3142999997</v>
      </c>
      <c r="E35">
        <v>1506636.7082</v>
      </c>
      <c r="F35" s="1">
        <f t="shared" si="0"/>
        <v>37.092869982092125</v>
      </c>
      <c r="G35" t="s">
        <v>57</v>
      </c>
    </row>
    <row r="36" spans="1:7" x14ac:dyDescent="0.2">
      <c r="B36" t="s">
        <v>44</v>
      </c>
      <c r="C36">
        <v>1192002.4184999999</v>
      </c>
      <c r="D36">
        <v>5362829.7526000002</v>
      </c>
      <c r="E36">
        <v>1897998.4179</v>
      </c>
      <c r="F36" s="1">
        <f t="shared" si="0"/>
        <v>22.227116531567962</v>
      </c>
      <c r="G36" t="s">
        <v>51</v>
      </c>
    </row>
    <row r="37" spans="1:7" x14ac:dyDescent="0.2">
      <c r="B37" t="s">
        <v>45</v>
      </c>
      <c r="C37">
        <v>861282.55920000002</v>
      </c>
      <c r="D37">
        <v>5093956.8578000003</v>
      </c>
      <c r="E37">
        <v>2463266.2187000001</v>
      </c>
      <c r="F37" s="1">
        <f t="shared" si="0"/>
        <v>16.907928026150863</v>
      </c>
      <c r="G37" t="s">
        <v>51</v>
      </c>
    </row>
    <row r="38" spans="1:7" x14ac:dyDescent="0.2">
      <c r="B38" t="s">
        <v>46</v>
      </c>
      <c r="C38">
        <v>1145361.0316999999</v>
      </c>
      <c r="D38">
        <v>4500530.0591000002</v>
      </c>
      <c r="E38">
        <v>1740090.9808</v>
      </c>
      <c r="F38" s="1">
        <f t="shared" si="0"/>
        <v>25.449469654893164</v>
      </c>
      <c r="G38" t="s">
        <v>51</v>
      </c>
    </row>
    <row r="39" spans="1:7" x14ac:dyDescent="0.2">
      <c r="B39" t="s">
        <v>47</v>
      </c>
      <c r="C39">
        <v>855513.98320000002</v>
      </c>
      <c r="D39">
        <v>3970740.1376999998</v>
      </c>
      <c r="E39">
        <v>1576541.5478000001</v>
      </c>
      <c r="F39" s="1">
        <f t="shared" si="0"/>
        <v>21.545453833086782</v>
      </c>
      <c r="G39" t="s">
        <v>51</v>
      </c>
    </row>
    <row r="40" spans="1:7" x14ac:dyDescent="0.2">
      <c r="B40" t="s">
        <v>49</v>
      </c>
      <c r="C40">
        <v>836109.59869999997</v>
      </c>
      <c r="D40">
        <v>3328609.7880000002</v>
      </c>
      <c r="E40">
        <v>1189344.4046</v>
      </c>
      <c r="F40" s="1">
        <f t="shared" si="0"/>
        <v>25.118883015794342</v>
      </c>
      <c r="G40" t="s">
        <v>51</v>
      </c>
    </row>
    <row r="41" spans="1:7" x14ac:dyDescent="0.2">
      <c r="A41" s="6" t="s">
        <v>21</v>
      </c>
      <c r="B41" t="s">
        <v>23</v>
      </c>
      <c r="C41">
        <v>838978.74739999999</v>
      </c>
      <c r="D41">
        <v>4048727.1181000001</v>
      </c>
      <c r="E41">
        <v>1918664.8425</v>
      </c>
      <c r="F41" s="1">
        <f t="shared" si="0"/>
        <v>20.722037394155592</v>
      </c>
      <c r="G41" t="s">
        <v>50</v>
      </c>
    </row>
    <row r="42" spans="1:7" x14ac:dyDescent="0.2">
      <c r="B42" t="s">
        <v>24</v>
      </c>
      <c r="C42">
        <v>737808.59459999995</v>
      </c>
      <c r="D42">
        <v>3624940.2168999999</v>
      </c>
      <c r="E42">
        <v>1730904.6610000001</v>
      </c>
      <c r="F42" s="1">
        <f t="shared" si="0"/>
        <v>20.353676211271807</v>
      </c>
      <c r="G42" t="s">
        <v>50</v>
      </c>
    </row>
    <row r="43" spans="1:7" x14ac:dyDescent="0.2">
      <c r="B43" t="s">
        <v>25</v>
      </c>
      <c r="C43">
        <v>741876.74780000001</v>
      </c>
      <c r="D43">
        <v>4680212.6015999997</v>
      </c>
      <c r="E43">
        <v>2116912.5937000001</v>
      </c>
      <c r="F43" s="1">
        <f t="shared" si="0"/>
        <v>15.851347170561835</v>
      </c>
      <c r="G43" t="s">
        <v>50</v>
      </c>
    </row>
    <row r="44" spans="1:7" x14ac:dyDescent="0.2">
      <c r="B44" s="3" t="s">
        <v>26</v>
      </c>
      <c r="C44" s="3">
        <v>768040.71180000005</v>
      </c>
      <c r="D44" s="3">
        <v>2911755.8758999999</v>
      </c>
      <c r="E44" s="3">
        <v>1507053.9339999999</v>
      </c>
      <c r="F44" s="4">
        <f t="shared" si="0"/>
        <v>26.377235748261519</v>
      </c>
      <c r="G44" s="3" t="s">
        <v>56</v>
      </c>
    </row>
    <row r="45" spans="1:7" x14ac:dyDescent="0.2">
      <c r="B45" t="s">
        <v>27</v>
      </c>
      <c r="C45">
        <v>884770.26260000002</v>
      </c>
      <c r="D45">
        <v>5217797.3722999999</v>
      </c>
      <c r="E45">
        <v>2531684.5652000001</v>
      </c>
      <c r="F45" s="1">
        <f t="shared" si="0"/>
        <v>16.956776959125076</v>
      </c>
      <c r="G45" t="s">
        <v>51</v>
      </c>
    </row>
    <row r="46" spans="1:7" x14ac:dyDescent="0.2">
      <c r="B46" t="s">
        <v>28</v>
      </c>
      <c r="C46">
        <v>883952.98549999995</v>
      </c>
      <c r="D46">
        <v>4872712.6969999997</v>
      </c>
      <c r="E46">
        <v>2309076.6162</v>
      </c>
      <c r="F46" s="1">
        <f t="shared" si="0"/>
        <v>18.14088045954826</v>
      </c>
      <c r="G46" t="s">
        <v>51</v>
      </c>
    </row>
    <row r="47" spans="1:7" x14ac:dyDescent="0.2">
      <c r="B47" t="s">
        <v>29</v>
      </c>
      <c r="C47">
        <v>1296696.2304</v>
      </c>
      <c r="D47">
        <v>4967830.3486000001</v>
      </c>
      <c r="E47">
        <v>1790898.0507</v>
      </c>
      <c r="F47" s="1">
        <f t="shared" si="0"/>
        <v>26.101862169375934</v>
      </c>
      <c r="G47" t="s">
        <v>51</v>
      </c>
    </row>
    <row r="48" spans="1:7" x14ac:dyDescent="0.2">
      <c r="B48" t="s">
        <v>33</v>
      </c>
      <c r="C48">
        <v>985597.26210000005</v>
      </c>
      <c r="D48">
        <v>5424331.7647000002</v>
      </c>
      <c r="E48">
        <v>2403715.7883000001</v>
      </c>
      <c r="F48" s="1">
        <f t="shared" si="0"/>
        <v>18.16992958494879</v>
      </c>
      <c r="G48" t="s">
        <v>51</v>
      </c>
    </row>
    <row r="49" spans="2:7" x14ac:dyDescent="0.2">
      <c r="B49" t="s">
        <v>34</v>
      </c>
      <c r="C49">
        <v>984198.49970000004</v>
      </c>
      <c r="D49">
        <v>5235506.2699999996</v>
      </c>
      <c r="E49">
        <v>2405565.6671000002</v>
      </c>
      <c r="F49" s="1">
        <f t="shared" si="0"/>
        <v>18.798535403148321</v>
      </c>
      <c r="G49" t="s">
        <v>51</v>
      </c>
    </row>
    <row r="50" spans="2:7" x14ac:dyDescent="0.2">
      <c r="B50" s="3" t="s">
        <v>35</v>
      </c>
      <c r="C50" s="3">
        <v>2052553.8382000001</v>
      </c>
      <c r="D50" s="3">
        <v>4289815.4545999998</v>
      </c>
      <c r="E50" s="3">
        <v>1438622.3117</v>
      </c>
      <c r="F50" s="4">
        <f t="shared" si="0"/>
        <v>47.847136081320976</v>
      </c>
      <c r="G50" s="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22FA-6E15-4B4D-A390-5044226A37F9}">
  <dimension ref="A1:M32"/>
  <sheetViews>
    <sheetView topLeftCell="C1" zoomScale="150" workbookViewId="0">
      <selection activeCell="F2" sqref="F2"/>
    </sheetView>
  </sheetViews>
  <sheetFormatPr baseColWidth="10" defaultRowHeight="16" x14ac:dyDescent="0.2"/>
  <cols>
    <col min="1" max="1" width="10.83203125" style="6"/>
    <col min="2" max="2" width="12.1640625" style="1" bestFit="1" customWidth="1"/>
    <col min="5" max="5" width="5.1640625" bestFit="1" customWidth="1"/>
  </cols>
  <sheetData>
    <row r="1" spans="1:13" ht="34" x14ac:dyDescent="0.2">
      <c r="B1" s="8" t="s">
        <v>60</v>
      </c>
      <c r="C1" s="6" t="s">
        <v>61</v>
      </c>
    </row>
    <row r="2" spans="1:13" x14ac:dyDescent="0.2">
      <c r="A2" s="6" t="s">
        <v>2</v>
      </c>
      <c r="B2" s="5">
        <v>82.31</v>
      </c>
      <c r="C2" t="s">
        <v>3</v>
      </c>
      <c r="E2" t="s">
        <v>2</v>
      </c>
      <c r="F2" s="5">
        <v>73.36634997132208</v>
      </c>
      <c r="G2" s="5">
        <v>73.27</v>
      </c>
      <c r="H2" s="5">
        <v>89.24</v>
      </c>
      <c r="I2" s="5">
        <v>88.09</v>
      </c>
    </row>
    <row r="3" spans="1:13" x14ac:dyDescent="0.2">
      <c r="A3" s="6" t="s">
        <v>2</v>
      </c>
      <c r="B3" s="5">
        <v>73.27</v>
      </c>
      <c r="C3" t="s">
        <v>4</v>
      </c>
      <c r="E3" t="s">
        <v>8</v>
      </c>
      <c r="F3" s="1">
        <v>90.049938263357532</v>
      </c>
      <c r="G3" s="1">
        <v>86.747407486180094</v>
      </c>
      <c r="H3" s="1">
        <v>80.125179217288249</v>
      </c>
      <c r="I3" s="1">
        <v>78.495281160846829</v>
      </c>
      <c r="J3" s="1">
        <v>91.886222150798631</v>
      </c>
    </row>
    <row r="4" spans="1:13" x14ac:dyDescent="0.2">
      <c r="A4" s="6" t="s">
        <v>2</v>
      </c>
      <c r="B4" s="5">
        <v>89.24</v>
      </c>
      <c r="C4" t="s">
        <v>5</v>
      </c>
      <c r="E4" t="s">
        <v>13</v>
      </c>
      <c r="F4" s="1">
        <v>82.779547479322872</v>
      </c>
      <c r="G4" s="1">
        <v>80.865121244353674</v>
      </c>
      <c r="H4" s="1">
        <v>85.728541222096794</v>
      </c>
      <c r="I4" s="1">
        <v>69.179836969401038</v>
      </c>
    </row>
    <row r="5" spans="1:13" x14ac:dyDescent="0.2">
      <c r="A5" s="6" t="s">
        <v>2</v>
      </c>
      <c r="B5" s="5">
        <v>88.09</v>
      </c>
      <c r="C5" t="s">
        <v>6</v>
      </c>
      <c r="E5" t="s">
        <v>59</v>
      </c>
      <c r="F5" s="1">
        <v>68.604352361087564</v>
      </c>
      <c r="G5" s="1">
        <v>64.515219487444796</v>
      </c>
      <c r="H5" s="1">
        <v>61.542257577083227</v>
      </c>
      <c r="I5" s="1">
        <v>62.279999408987521</v>
      </c>
      <c r="J5" s="1">
        <v>70.721139472378738</v>
      </c>
      <c r="K5" s="1">
        <v>67.406083996085727</v>
      </c>
    </row>
    <row r="6" spans="1:13" x14ac:dyDescent="0.2">
      <c r="A6" s="7" t="s">
        <v>8</v>
      </c>
      <c r="B6" s="1">
        <v>90.049938263357532</v>
      </c>
      <c r="C6" t="s">
        <v>9</v>
      </c>
      <c r="E6" t="s">
        <v>62</v>
      </c>
      <c r="F6" s="1">
        <v>73.472596836645465</v>
      </c>
      <c r="G6" s="1">
        <v>77.128043025160338</v>
      </c>
      <c r="H6" s="1">
        <v>78.061463906529852</v>
      </c>
      <c r="I6" s="1">
        <v>78.577985682745705</v>
      </c>
    </row>
    <row r="7" spans="1:13" x14ac:dyDescent="0.2">
      <c r="A7" s="7" t="s">
        <v>8</v>
      </c>
      <c r="B7" s="1">
        <v>86.747407486180094</v>
      </c>
      <c r="C7" t="s">
        <v>10</v>
      </c>
      <c r="E7" t="s">
        <v>20</v>
      </c>
      <c r="F7" s="1">
        <v>63.132362249844235</v>
      </c>
      <c r="G7" s="1">
        <v>64.580310266944238</v>
      </c>
      <c r="H7" s="1">
        <v>56.163525061485664</v>
      </c>
      <c r="I7" s="1">
        <v>70.112060512380552</v>
      </c>
    </row>
    <row r="8" spans="1:13" x14ac:dyDescent="0.2">
      <c r="A8" s="7" t="s">
        <v>8</v>
      </c>
      <c r="B8" s="1">
        <v>80.125179217288249</v>
      </c>
      <c r="C8" t="s">
        <v>11</v>
      </c>
      <c r="E8" t="s">
        <v>22</v>
      </c>
      <c r="F8" s="1">
        <v>37.092869982092125</v>
      </c>
      <c r="G8" s="1">
        <v>22.227116531567962</v>
      </c>
      <c r="H8" s="1">
        <v>16.907928026150863</v>
      </c>
      <c r="I8" s="1">
        <v>25.449469654893164</v>
      </c>
      <c r="J8" s="1">
        <v>21.545453833086782</v>
      </c>
      <c r="K8" s="1">
        <v>25.118883015794342</v>
      </c>
    </row>
    <row r="9" spans="1:13" x14ac:dyDescent="0.2">
      <c r="A9" s="7" t="s">
        <v>8</v>
      </c>
      <c r="B9" s="1">
        <v>78.495281160846829</v>
      </c>
      <c r="C9" t="s">
        <v>12</v>
      </c>
      <c r="E9" t="s">
        <v>21</v>
      </c>
      <c r="F9" s="1">
        <v>20.722037394155592</v>
      </c>
      <c r="G9" s="1">
        <v>20.353676211271807</v>
      </c>
      <c r="H9" s="1">
        <v>15.851347170561835</v>
      </c>
      <c r="I9" s="1">
        <v>16.956776959125076</v>
      </c>
      <c r="J9" s="1">
        <v>18.14088045954826</v>
      </c>
      <c r="K9" s="1">
        <v>26.101862169375934</v>
      </c>
      <c r="L9" s="1">
        <v>18.16992958494879</v>
      </c>
      <c r="M9" s="1">
        <v>18.798535403148321</v>
      </c>
    </row>
    <row r="10" spans="1:13" x14ac:dyDescent="0.2">
      <c r="A10" s="7" t="s">
        <v>8</v>
      </c>
      <c r="B10" s="1">
        <v>91.886222150798631</v>
      </c>
      <c r="C10" t="s">
        <v>18</v>
      </c>
    </row>
    <row r="11" spans="1:13" x14ac:dyDescent="0.2">
      <c r="A11" s="6" t="s">
        <v>13</v>
      </c>
      <c r="B11" s="1">
        <v>82.779547479322872</v>
      </c>
      <c r="C11" t="s">
        <v>14</v>
      </c>
    </row>
    <row r="12" spans="1:13" x14ac:dyDescent="0.2">
      <c r="A12" s="6" t="s">
        <v>13</v>
      </c>
      <c r="B12" s="1">
        <v>80.865121244353674</v>
      </c>
      <c r="C12" t="s">
        <v>15</v>
      </c>
    </row>
    <row r="13" spans="1:13" x14ac:dyDescent="0.2">
      <c r="A13" s="6" t="s">
        <v>13</v>
      </c>
      <c r="B13" s="1">
        <v>85.728541222096794</v>
      </c>
      <c r="C13" t="s">
        <v>16</v>
      </c>
    </row>
    <row r="14" spans="1:13" x14ac:dyDescent="0.2">
      <c r="A14" s="6" t="s">
        <v>13</v>
      </c>
      <c r="B14" s="1">
        <v>69.179836969401038</v>
      </c>
      <c r="C14" t="s">
        <v>17</v>
      </c>
    </row>
    <row r="15" spans="1:13" x14ac:dyDescent="0.2">
      <c r="A15" s="6" t="s">
        <v>20</v>
      </c>
      <c r="B15" s="1">
        <v>63.132362249844235</v>
      </c>
      <c r="C15" t="s">
        <v>36</v>
      </c>
    </row>
    <row r="16" spans="1:13" x14ac:dyDescent="0.2">
      <c r="A16" s="6" t="s">
        <v>20</v>
      </c>
      <c r="B16" s="1">
        <v>64.580310266944238</v>
      </c>
      <c r="C16" t="s">
        <v>37</v>
      </c>
    </row>
    <row r="17" spans="1:3" x14ac:dyDescent="0.2">
      <c r="A17" s="6" t="s">
        <v>20</v>
      </c>
      <c r="B17" s="1">
        <v>56.163525061485664</v>
      </c>
      <c r="C17" t="s">
        <v>38</v>
      </c>
    </row>
    <row r="18" spans="1:3" x14ac:dyDescent="0.2">
      <c r="A18" s="6" t="s">
        <v>20</v>
      </c>
      <c r="B18" s="1">
        <v>70.112060512380552</v>
      </c>
      <c r="C18" t="s">
        <v>39</v>
      </c>
    </row>
    <row r="19" spans="1:3" x14ac:dyDescent="0.2">
      <c r="A19" s="6" t="s">
        <v>22</v>
      </c>
      <c r="B19" s="1">
        <v>37.092869982092125</v>
      </c>
      <c r="C19" t="s">
        <v>43</v>
      </c>
    </row>
    <row r="20" spans="1:3" x14ac:dyDescent="0.2">
      <c r="A20" s="6" t="s">
        <v>22</v>
      </c>
      <c r="B20" s="1">
        <v>22.227116531567962</v>
      </c>
      <c r="C20" t="s">
        <v>44</v>
      </c>
    </row>
    <row r="21" spans="1:3" x14ac:dyDescent="0.2">
      <c r="A21" s="6" t="s">
        <v>22</v>
      </c>
      <c r="B21" s="1">
        <v>16.907928026150863</v>
      </c>
      <c r="C21" t="s">
        <v>45</v>
      </c>
    </row>
    <row r="22" spans="1:3" x14ac:dyDescent="0.2">
      <c r="A22" s="6" t="s">
        <v>22</v>
      </c>
      <c r="B22" s="1">
        <v>25.449469654893164</v>
      </c>
      <c r="C22" t="s">
        <v>46</v>
      </c>
    </row>
    <row r="23" spans="1:3" x14ac:dyDescent="0.2">
      <c r="A23" s="6" t="s">
        <v>22</v>
      </c>
      <c r="B23" s="1">
        <v>21.545453833086782</v>
      </c>
      <c r="C23" t="s">
        <v>47</v>
      </c>
    </row>
    <row r="24" spans="1:3" x14ac:dyDescent="0.2">
      <c r="A24" s="6" t="s">
        <v>22</v>
      </c>
      <c r="B24" s="1">
        <v>25.118883015794342</v>
      </c>
      <c r="C24" t="s">
        <v>49</v>
      </c>
    </row>
    <row r="25" spans="1:3" x14ac:dyDescent="0.2">
      <c r="A25" s="6" t="s">
        <v>21</v>
      </c>
      <c r="B25" s="1">
        <v>20.722037394155592</v>
      </c>
      <c r="C25" t="s">
        <v>23</v>
      </c>
    </row>
    <row r="26" spans="1:3" x14ac:dyDescent="0.2">
      <c r="A26" s="6" t="s">
        <v>21</v>
      </c>
      <c r="B26" s="1">
        <v>20.353676211271807</v>
      </c>
      <c r="C26" t="s">
        <v>24</v>
      </c>
    </row>
    <row r="27" spans="1:3" x14ac:dyDescent="0.2">
      <c r="A27" s="6" t="s">
        <v>21</v>
      </c>
      <c r="B27" s="1">
        <v>15.851347170561835</v>
      </c>
      <c r="C27" t="s">
        <v>25</v>
      </c>
    </row>
    <row r="28" spans="1:3" x14ac:dyDescent="0.2">
      <c r="A28" s="6" t="s">
        <v>21</v>
      </c>
      <c r="B28" s="1">
        <f>'Stroke area raw'!C45/'Stroke area raw'!D45*100</f>
        <v>16.956776959125076</v>
      </c>
      <c r="C28" t="s">
        <v>27</v>
      </c>
    </row>
    <row r="29" spans="1:3" x14ac:dyDescent="0.2">
      <c r="A29" s="6" t="s">
        <v>21</v>
      </c>
      <c r="B29" s="1">
        <f>'Stroke area raw'!C46/'Stroke area raw'!D46*100</f>
        <v>18.14088045954826</v>
      </c>
      <c r="C29" t="s">
        <v>28</v>
      </c>
    </row>
    <row r="30" spans="1:3" x14ac:dyDescent="0.2">
      <c r="A30" s="6" t="s">
        <v>21</v>
      </c>
      <c r="B30" s="1">
        <f>'Stroke area raw'!C47/'Stroke area raw'!D47*100</f>
        <v>26.101862169375934</v>
      </c>
      <c r="C30" t="s">
        <v>29</v>
      </c>
    </row>
    <row r="31" spans="1:3" x14ac:dyDescent="0.2">
      <c r="A31" s="6" t="s">
        <v>21</v>
      </c>
      <c r="B31" s="1">
        <f>'Stroke area raw'!C48/'Stroke area raw'!D48*100</f>
        <v>18.16992958494879</v>
      </c>
      <c r="C31" t="s">
        <v>33</v>
      </c>
    </row>
    <row r="32" spans="1:3" x14ac:dyDescent="0.2">
      <c r="A32" s="6" t="s">
        <v>21</v>
      </c>
      <c r="B32" s="1">
        <f>'Stroke area raw'!C49/'Stroke area raw'!D49*100</f>
        <v>18.798535403148321</v>
      </c>
      <c r="C32" t="s">
        <v>34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CA49-F7D6-A744-BCED-47EC9BD0E641}">
  <dimension ref="A1:K90"/>
  <sheetViews>
    <sheetView workbookViewId="0">
      <selection activeCell="I95" sqref="I95"/>
    </sheetView>
  </sheetViews>
  <sheetFormatPr baseColWidth="10" defaultRowHeight="16" x14ac:dyDescent="0.2"/>
  <sheetData>
    <row r="1" spans="1:11" x14ac:dyDescent="0.2">
      <c r="A1" t="s">
        <v>64</v>
      </c>
    </row>
    <row r="2" spans="1:11" x14ac:dyDescent="0.2">
      <c r="A2" t="s">
        <v>63</v>
      </c>
      <c r="B2" t="s">
        <v>2</v>
      </c>
      <c r="C2" t="s">
        <v>8</v>
      </c>
      <c r="D2" t="s">
        <v>13</v>
      </c>
      <c r="E2" t="s">
        <v>59</v>
      </c>
      <c r="F2" t="s">
        <v>62</v>
      </c>
      <c r="I2" t="s">
        <v>20</v>
      </c>
      <c r="J2" t="s">
        <v>22</v>
      </c>
      <c r="K2" t="s">
        <v>21</v>
      </c>
    </row>
    <row r="3" spans="1:11" ht="15" customHeight="1" x14ac:dyDescent="0.2">
      <c r="A3" s="9">
        <v>45714</v>
      </c>
      <c r="B3" s="10">
        <v>16.100000000000001</v>
      </c>
      <c r="C3" s="10">
        <v>17.600000000000001</v>
      </c>
      <c r="D3" s="10">
        <v>16.399999999999999</v>
      </c>
      <c r="E3" s="10"/>
      <c r="F3" s="10"/>
      <c r="H3" s="9">
        <v>45763</v>
      </c>
      <c r="I3" s="10">
        <v>20.5</v>
      </c>
      <c r="J3" s="10">
        <v>20.3</v>
      </c>
      <c r="K3" s="10">
        <v>20.399999999999999</v>
      </c>
    </row>
    <row r="4" spans="1:11" x14ac:dyDescent="0.2">
      <c r="A4" s="9">
        <v>45715</v>
      </c>
      <c r="B4" s="10">
        <v>16.399999999999999</v>
      </c>
      <c r="C4" s="10">
        <v>17.8</v>
      </c>
      <c r="D4" s="10">
        <v>16</v>
      </c>
      <c r="E4" s="10">
        <v>19.100000000000001</v>
      </c>
      <c r="F4" s="10">
        <v>18.100000000000001</v>
      </c>
      <c r="H4" s="9">
        <v>45764</v>
      </c>
      <c r="I4" s="10">
        <v>20.8</v>
      </c>
      <c r="J4" s="10">
        <v>20.3</v>
      </c>
      <c r="K4" s="10">
        <v>20.399999999999999</v>
      </c>
    </row>
    <row r="5" spans="1:11" x14ac:dyDescent="0.2">
      <c r="A5" s="9">
        <v>45716</v>
      </c>
      <c r="B5" s="10">
        <v>16</v>
      </c>
      <c r="C5" s="10">
        <v>17.399999999999999</v>
      </c>
      <c r="D5" s="10"/>
      <c r="E5" s="10"/>
      <c r="F5" s="10">
        <v>17.7</v>
      </c>
      <c r="H5" s="9">
        <v>45765</v>
      </c>
      <c r="I5" s="10">
        <v>20.8</v>
      </c>
      <c r="J5" s="10">
        <v>20.6</v>
      </c>
      <c r="K5" s="10">
        <v>20.5</v>
      </c>
    </row>
    <row r="6" spans="1:11" x14ac:dyDescent="0.2">
      <c r="A6" s="9">
        <v>45717</v>
      </c>
      <c r="B6" s="10"/>
      <c r="C6" s="10">
        <v>17.100000000000001</v>
      </c>
      <c r="D6" s="10"/>
      <c r="E6" s="10">
        <v>18.3</v>
      </c>
      <c r="F6" s="10">
        <v>17.399999999999999</v>
      </c>
      <c r="H6" s="9">
        <v>45766</v>
      </c>
      <c r="I6" s="10"/>
      <c r="J6" s="10"/>
      <c r="K6" s="10"/>
    </row>
    <row r="7" spans="1:11" x14ac:dyDescent="0.2">
      <c r="A7" s="9">
        <v>45718</v>
      </c>
      <c r="B7" s="10">
        <v>16.3</v>
      </c>
      <c r="C7" s="10"/>
      <c r="D7" s="10"/>
      <c r="E7" s="10">
        <v>18.399999999999999</v>
      </c>
      <c r="F7" s="10">
        <v>17.399999999999999</v>
      </c>
      <c r="H7" s="9">
        <v>45767</v>
      </c>
      <c r="I7" s="10"/>
      <c r="J7" s="10"/>
      <c r="K7" s="10"/>
    </row>
    <row r="8" spans="1:11" x14ac:dyDescent="0.2">
      <c r="A8" s="9">
        <v>45719</v>
      </c>
      <c r="B8" s="10">
        <v>16.2</v>
      </c>
      <c r="C8" s="10">
        <v>16.8</v>
      </c>
      <c r="D8" s="10">
        <v>16.399999999999999</v>
      </c>
      <c r="E8" s="10"/>
      <c r="F8" s="10">
        <v>17.3</v>
      </c>
      <c r="H8" s="9">
        <v>45768</v>
      </c>
      <c r="I8" s="10">
        <v>22.2</v>
      </c>
      <c r="J8" s="10">
        <v>22.6</v>
      </c>
      <c r="K8" s="10">
        <v>21.9</v>
      </c>
    </row>
    <row r="9" spans="1:11" x14ac:dyDescent="0.2">
      <c r="A9" s="9">
        <v>45720</v>
      </c>
      <c r="B9" s="10">
        <v>16.399999999999999</v>
      </c>
      <c r="C9" s="10"/>
      <c r="D9" s="10">
        <v>16.399999999999999</v>
      </c>
      <c r="E9" s="10">
        <v>18.3</v>
      </c>
      <c r="F9" s="10">
        <v>17.3</v>
      </c>
      <c r="H9" s="9">
        <v>45769</v>
      </c>
      <c r="I9" s="10">
        <v>21.3</v>
      </c>
      <c r="J9" s="10">
        <v>21.8</v>
      </c>
      <c r="K9" s="10">
        <v>21.1</v>
      </c>
    </row>
    <row r="10" spans="1:11" x14ac:dyDescent="0.2">
      <c r="A10" s="9">
        <v>45721</v>
      </c>
      <c r="B10" s="10">
        <v>16.5</v>
      </c>
      <c r="C10" s="10">
        <v>17.2</v>
      </c>
      <c r="D10" s="10">
        <v>16.899999999999999</v>
      </c>
      <c r="E10" s="10">
        <v>18.3</v>
      </c>
      <c r="F10" s="10">
        <v>17.3</v>
      </c>
      <c r="H10" s="9">
        <v>45770</v>
      </c>
      <c r="I10" s="10">
        <v>20.9</v>
      </c>
      <c r="J10" s="10">
        <v>20.9</v>
      </c>
      <c r="K10" s="10">
        <v>21.1</v>
      </c>
    </row>
    <row r="11" spans="1:11" x14ac:dyDescent="0.2">
      <c r="A11" s="9">
        <v>45722</v>
      </c>
      <c r="B11" s="10">
        <v>17.2</v>
      </c>
      <c r="C11" s="10">
        <v>17.7</v>
      </c>
      <c r="D11" s="10">
        <v>16.7</v>
      </c>
      <c r="E11" s="10">
        <v>18.399999999999999</v>
      </c>
      <c r="F11" s="10">
        <v>17.3</v>
      </c>
      <c r="H11" s="9">
        <v>45771</v>
      </c>
      <c r="I11" s="10">
        <v>20.8</v>
      </c>
      <c r="J11" s="10">
        <v>21.8</v>
      </c>
      <c r="K11" s="10">
        <v>21.3</v>
      </c>
    </row>
    <row r="12" spans="1:11" x14ac:dyDescent="0.2">
      <c r="A12" s="9">
        <v>45723</v>
      </c>
      <c r="B12" s="10">
        <v>17.100000000000001</v>
      </c>
      <c r="C12" s="10">
        <v>17.399999999999999</v>
      </c>
      <c r="D12" s="10">
        <v>16.600000000000001</v>
      </c>
      <c r="E12" s="10">
        <v>18</v>
      </c>
      <c r="F12" s="10">
        <v>17.5</v>
      </c>
      <c r="H12" s="9">
        <v>45772</v>
      </c>
      <c r="I12" s="10">
        <v>20.8</v>
      </c>
      <c r="J12" s="10">
        <v>20.9</v>
      </c>
      <c r="K12" s="10">
        <v>21.1</v>
      </c>
    </row>
    <row r="13" spans="1:11" x14ac:dyDescent="0.2">
      <c r="A13" s="9">
        <v>45724</v>
      </c>
      <c r="B13" s="10">
        <v>17.399999999999999</v>
      </c>
      <c r="C13" s="10">
        <v>17.600000000000001</v>
      </c>
      <c r="D13" s="10">
        <v>17.399999999999999</v>
      </c>
      <c r="E13" s="10">
        <v>18</v>
      </c>
      <c r="F13" s="10">
        <v>17.8</v>
      </c>
      <c r="H13" s="9">
        <v>45773</v>
      </c>
      <c r="I13" s="10">
        <v>20.8</v>
      </c>
      <c r="J13" s="10">
        <v>20.8</v>
      </c>
      <c r="K13" s="10">
        <v>20.3</v>
      </c>
    </row>
    <row r="14" spans="1:11" x14ac:dyDescent="0.2">
      <c r="A14" s="9">
        <v>45725</v>
      </c>
      <c r="B14" s="10">
        <v>17.399999999999999</v>
      </c>
      <c r="C14" s="10">
        <v>17.7</v>
      </c>
      <c r="D14" s="10">
        <v>16.899999999999999</v>
      </c>
      <c r="E14" s="10">
        <v>18.100000000000001</v>
      </c>
      <c r="F14" s="10">
        <v>18.2</v>
      </c>
      <c r="H14" s="9">
        <v>45774</v>
      </c>
      <c r="I14" s="10">
        <v>21.1</v>
      </c>
      <c r="J14" s="10">
        <v>20.5</v>
      </c>
      <c r="K14" s="10">
        <v>20.6</v>
      </c>
    </row>
    <row r="15" spans="1:11" x14ac:dyDescent="0.2">
      <c r="A15" s="9">
        <v>45726</v>
      </c>
      <c r="B15" s="10">
        <v>17.399999999999999</v>
      </c>
      <c r="C15" s="10">
        <v>17.3</v>
      </c>
      <c r="D15" s="10">
        <v>16.899999999999999</v>
      </c>
      <c r="E15" s="10">
        <v>18.8</v>
      </c>
      <c r="F15" s="10">
        <v>18</v>
      </c>
      <c r="H15" s="9">
        <v>45775</v>
      </c>
      <c r="I15" s="10">
        <v>21</v>
      </c>
      <c r="J15" s="10">
        <v>20.399999999999999</v>
      </c>
      <c r="K15" s="10">
        <v>20.6</v>
      </c>
    </row>
    <row r="16" spans="1:11" x14ac:dyDescent="0.2">
      <c r="A16" s="9">
        <v>45727</v>
      </c>
      <c r="B16" s="10">
        <v>17.600000000000001</v>
      </c>
      <c r="C16" s="10">
        <v>17.399999999999999</v>
      </c>
      <c r="D16" s="10">
        <v>17.100000000000001</v>
      </c>
      <c r="E16" s="10">
        <v>18.399999999999999</v>
      </c>
      <c r="F16" s="10">
        <v>18</v>
      </c>
      <c r="H16" s="9">
        <v>45776</v>
      </c>
      <c r="I16" s="10">
        <v>20.100000000000001</v>
      </c>
      <c r="J16" s="10">
        <v>20.2</v>
      </c>
      <c r="K16" s="10">
        <v>20.8</v>
      </c>
    </row>
    <row r="17" spans="1:11" x14ac:dyDescent="0.2">
      <c r="A17" s="9">
        <v>45728</v>
      </c>
      <c r="B17" s="10">
        <v>17.5</v>
      </c>
      <c r="C17" s="10">
        <v>17.399999999999999</v>
      </c>
      <c r="D17" s="10">
        <v>17</v>
      </c>
      <c r="E17" s="10">
        <v>18.3</v>
      </c>
      <c r="F17" s="10">
        <v>18.100000000000001</v>
      </c>
      <c r="H17" s="9">
        <v>45777</v>
      </c>
      <c r="I17" s="10">
        <v>20.2</v>
      </c>
      <c r="J17" s="10">
        <v>19.8</v>
      </c>
      <c r="K17" s="10">
        <v>21</v>
      </c>
    </row>
    <row r="18" spans="1:11" x14ac:dyDescent="0.2">
      <c r="A18" s="9">
        <v>45729</v>
      </c>
      <c r="B18" s="10">
        <v>17.5</v>
      </c>
      <c r="C18" s="10">
        <v>17.2</v>
      </c>
      <c r="D18" s="10">
        <v>17.399999999999999</v>
      </c>
      <c r="E18" s="10">
        <v>18</v>
      </c>
      <c r="F18" s="10">
        <v>17.899999999999999</v>
      </c>
      <c r="H18" s="9">
        <v>45778</v>
      </c>
      <c r="I18" s="10">
        <v>19.3</v>
      </c>
      <c r="J18" s="10">
        <v>20.100000000000001</v>
      </c>
      <c r="K18" s="10">
        <v>20.2</v>
      </c>
    </row>
    <row r="19" spans="1:11" x14ac:dyDescent="0.2">
      <c r="A19" s="9">
        <v>45730</v>
      </c>
      <c r="B19" s="10">
        <v>17.3</v>
      </c>
      <c r="C19" s="10">
        <v>17.3</v>
      </c>
      <c r="D19" s="10">
        <v>17.2</v>
      </c>
      <c r="E19" s="10">
        <v>17.399999999999999</v>
      </c>
      <c r="F19" s="10">
        <v>17.5</v>
      </c>
      <c r="H19" s="9">
        <v>45779</v>
      </c>
      <c r="I19" s="10">
        <v>19.8</v>
      </c>
      <c r="J19" s="10">
        <v>19.2</v>
      </c>
      <c r="K19" s="10">
        <v>20.100000000000001</v>
      </c>
    </row>
    <row r="20" spans="1:11" x14ac:dyDescent="0.2">
      <c r="A20" s="9">
        <v>45731</v>
      </c>
      <c r="B20" s="10">
        <v>16.899999999999999</v>
      </c>
      <c r="C20" s="10">
        <v>16.8</v>
      </c>
      <c r="D20" s="10">
        <v>17.2</v>
      </c>
      <c r="E20" s="10">
        <v>18.2</v>
      </c>
      <c r="F20" s="10">
        <v>18.100000000000001</v>
      </c>
      <c r="H20" s="9">
        <v>45780</v>
      </c>
      <c r="I20" s="10">
        <v>20.2</v>
      </c>
      <c r="J20" s="10">
        <v>19.100000000000001</v>
      </c>
      <c r="K20" s="10">
        <v>20.100000000000001</v>
      </c>
    </row>
    <row r="21" spans="1:11" x14ac:dyDescent="0.2">
      <c r="A21" s="9">
        <v>45732</v>
      </c>
      <c r="B21" s="10">
        <v>17</v>
      </c>
      <c r="C21" s="10">
        <v>16.8</v>
      </c>
      <c r="D21" s="10">
        <v>17.100000000000001</v>
      </c>
      <c r="E21" s="10">
        <v>18.2</v>
      </c>
      <c r="F21" s="10">
        <v>18</v>
      </c>
      <c r="H21" s="9">
        <v>45781</v>
      </c>
      <c r="I21" s="10">
        <v>20.7</v>
      </c>
      <c r="J21" s="10">
        <v>19</v>
      </c>
      <c r="K21" s="10">
        <v>19.399999999999999</v>
      </c>
    </row>
    <row r="22" spans="1:11" x14ac:dyDescent="0.2">
      <c r="A22" s="9">
        <v>45733</v>
      </c>
      <c r="B22" s="10">
        <v>16.3</v>
      </c>
      <c r="C22" s="10">
        <v>16.5</v>
      </c>
      <c r="D22" s="10">
        <v>17.2</v>
      </c>
      <c r="E22" s="10">
        <v>18.2</v>
      </c>
      <c r="F22" s="10">
        <v>18</v>
      </c>
      <c r="H22" s="9">
        <v>45782</v>
      </c>
      <c r="I22" s="10">
        <v>20</v>
      </c>
      <c r="J22" s="10">
        <v>19.3</v>
      </c>
      <c r="K22" s="10">
        <v>19.2</v>
      </c>
    </row>
    <row r="23" spans="1:11" x14ac:dyDescent="0.2">
      <c r="A23" s="9">
        <v>45734</v>
      </c>
      <c r="B23" s="10">
        <v>16.100000000000001</v>
      </c>
      <c r="C23" s="10">
        <v>17.100000000000001</v>
      </c>
      <c r="D23" s="10">
        <v>17</v>
      </c>
      <c r="E23" s="10">
        <v>18.3</v>
      </c>
      <c r="F23" s="10"/>
      <c r="H23" s="9">
        <v>45783</v>
      </c>
      <c r="I23" s="10">
        <v>20.6</v>
      </c>
      <c r="J23" s="10">
        <v>18.7</v>
      </c>
      <c r="K23" s="10">
        <v>18.5</v>
      </c>
    </row>
    <row r="24" spans="1:11" x14ac:dyDescent="0.2">
      <c r="A24" s="9">
        <v>45735</v>
      </c>
      <c r="B24" s="10">
        <v>16.399999999999999</v>
      </c>
      <c r="C24" s="10">
        <v>16.8</v>
      </c>
      <c r="D24" s="10">
        <v>16.600000000000001</v>
      </c>
      <c r="E24" s="10">
        <v>17.899999999999999</v>
      </c>
      <c r="F24" s="10">
        <v>18.100000000000001</v>
      </c>
      <c r="H24" s="9">
        <v>45784</v>
      </c>
      <c r="I24" s="10">
        <v>22.1</v>
      </c>
      <c r="J24" s="10">
        <v>19.899999999999999</v>
      </c>
      <c r="K24" s="10">
        <v>17.8</v>
      </c>
    </row>
    <row r="25" spans="1:11" x14ac:dyDescent="0.2">
      <c r="A25" s="9">
        <v>45736</v>
      </c>
      <c r="B25" s="10">
        <v>16.8</v>
      </c>
      <c r="C25" s="10">
        <v>17.2</v>
      </c>
      <c r="D25" s="10">
        <v>16.899999999999999</v>
      </c>
      <c r="E25" s="10">
        <v>18.2</v>
      </c>
      <c r="F25" s="10">
        <v>18.149999999999999</v>
      </c>
      <c r="H25" s="9">
        <v>45785</v>
      </c>
      <c r="I25" s="10">
        <v>22</v>
      </c>
      <c r="J25" s="10">
        <v>19.399999999999999</v>
      </c>
      <c r="K25" s="10">
        <v>18.2</v>
      </c>
    </row>
    <row r="26" spans="1:11" x14ac:dyDescent="0.2">
      <c r="A26" s="9">
        <v>45737</v>
      </c>
      <c r="B26" s="10">
        <v>16.8</v>
      </c>
      <c r="C26" s="10">
        <v>17.399999999999999</v>
      </c>
      <c r="D26" s="10">
        <v>17.2</v>
      </c>
      <c r="E26" s="10">
        <v>18.3</v>
      </c>
      <c r="F26" s="10">
        <v>18.2</v>
      </c>
      <c r="H26" s="9">
        <v>45786</v>
      </c>
      <c r="I26" s="10">
        <v>21</v>
      </c>
      <c r="J26" s="10">
        <v>20.5</v>
      </c>
      <c r="K26" s="10">
        <v>19.7</v>
      </c>
    </row>
    <row r="27" spans="1:11" x14ac:dyDescent="0.2">
      <c r="A27" s="9">
        <v>45738</v>
      </c>
      <c r="B27" s="10">
        <v>16.7</v>
      </c>
      <c r="C27" s="10">
        <v>17.7</v>
      </c>
      <c r="D27" s="10">
        <v>17.100000000000001</v>
      </c>
      <c r="E27" s="10">
        <v>18.2</v>
      </c>
      <c r="F27" s="10">
        <v>18.100000000000001</v>
      </c>
      <c r="H27" s="9">
        <v>45787</v>
      </c>
      <c r="I27" s="10"/>
      <c r="J27" s="10"/>
      <c r="K27" s="10"/>
    </row>
    <row r="28" spans="1:11" x14ac:dyDescent="0.2">
      <c r="A28" s="9">
        <v>45739</v>
      </c>
      <c r="B28" s="10">
        <v>16.7</v>
      </c>
      <c r="C28" s="10">
        <v>17.3</v>
      </c>
      <c r="D28" s="10">
        <v>17</v>
      </c>
      <c r="E28" s="10">
        <v>18.2</v>
      </c>
      <c r="F28" s="10">
        <v>18</v>
      </c>
      <c r="H28" s="9">
        <v>45788</v>
      </c>
      <c r="I28" s="10">
        <v>21.2</v>
      </c>
      <c r="J28" s="10">
        <v>19.600000000000001</v>
      </c>
      <c r="K28" s="10">
        <v>19.3</v>
      </c>
    </row>
    <row r="29" spans="1:11" x14ac:dyDescent="0.2">
      <c r="A29" s="9">
        <v>45740</v>
      </c>
      <c r="B29" s="10">
        <v>17.399999999999999</v>
      </c>
      <c r="C29" s="10">
        <v>18.399999999999999</v>
      </c>
      <c r="D29" s="10">
        <v>17.8</v>
      </c>
      <c r="E29" s="10">
        <v>18.399999999999999</v>
      </c>
      <c r="F29" s="10">
        <v>17.95</v>
      </c>
      <c r="H29" s="9">
        <v>45789</v>
      </c>
      <c r="I29" s="10">
        <v>21.3</v>
      </c>
      <c r="J29" s="10">
        <v>19.7</v>
      </c>
      <c r="K29" s="10">
        <v>19.5</v>
      </c>
    </row>
    <row r="30" spans="1:11" x14ac:dyDescent="0.2">
      <c r="A30" s="9">
        <v>45741</v>
      </c>
      <c r="B30" s="10">
        <v>17.100000000000001</v>
      </c>
      <c r="C30" s="10">
        <v>18.100000000000001</v>
      </c>
      <c r="D30" s="10">
        <v>17.3</v>
      </c>
      <c r="E30" s="10">
        <v>18.399999999999999</v>
      </c>
      <c r="F30" s="10">
        <v>17.3</v>
      </c>
      <c r="H30" s="9">
        <v>45790</v>
      </c>
      <c r="I30" s="10"/>
      <c r="J30" s="10"/>
      <c r="K30" s="10"/>
    </row>
    <row r="31" spans="1:11" x14ac:dyDescent="0.2">
      <c r="A31" s="9">
        <v>45742</v>
      </c>
      <c r="B31" s="10">
        <v>16.8</v>
      </c>
      <c r="C31" s="10">
        <v>17.899999999999999</v>
      </c>
      <c r="D31" s="10">
        <v>17.399999999999999</v>
      </c>
      <c r="E31" s="10">
        <v>18.5</v>
      </c>
      <c r="F31" s="10">
        <v>16.7</v>
      </c>
      <c r="H31" s="9">
        <v>45791</v>
      </c>
      <c r="I31" s="10">
        <v>21.1</v>
      </c>
      <c r="J31" s="10">
        <v>19.8</v>
      </c>
      <c r="K31" s="10">
        <v>19.2</v>
      </c>
    </row>
    <row r="32" spans="1:11" x14ac:dyDescent="0.2">
      <c r="A32" s="9">
        <v>45743</v>
      </c>
      <c r="B32" s="10">
        <v>17.2</v>
      </c>
      <c r="C32" s="10">
        <v>18.2</v>
      </c>
      <c r="D32" s="10">
        <v>17.5</v>
      </c>
      <c r="E32" s="10"/>
      <c r="F32" s="10">
        <v>17.399999999999999</v>
      </c>
      <c r="H32" s="9">
        <v>45792</v>
      </c>
      <c r="I32" s="10">
        <v>20.9</v>
      </c>
      <c r="J32" s="10">
        <v>20.399999999999999</v>
      </c>
      <c r="K32" s="10">
        <v>21.5</v>
      </c>
    </row>
    <row r="33" spans="1:11" x14ac:dyDescent="0.2">
      <c r="A33" s="9">
        <v>45744</v>
      </c>
      <c r="C33" s="10"/>
      <c r="E33" s="10">
        <v>19.100000000000001</v>
      </c>
      <c r="F33" s="10">
        <v>17.3</v>
      </c>
      <c r="H33" s="9">
        <v>45793</v>
      </c>
      <c r="I33" s="10">
        <v>20.9</v>
      </c>
      <c r="J33" s="10">
        <v>19.399999999999999</v>
      </c>
      <c r="K33" s="10">
        <v>20.2</v>
      </c>
    </row>
    <row r="34" spans="1:11" x14ac:dyDescent="0.2">
      <c r="A34" s="9">
        <v>45745</v>
      </c>
      <c r="E34" s="10">
        <v>18.8</v>
      </c>
      <c r="F34" s="10">
        <v>17.45</v>
      </c>
      <c r="H34" s="9">
        <v>45794</v>
      </c>
      <c r="I34" s="10"/>
      <c r="J34" s="10"/>
      <c r="K34" s="10"/>
    </row>
    <row r="35" spans="1:11" x14ac:dyDescent="0.2">
      <c r="A35" s="9">
        <v>45746</v>
      </c>
      <c r="E35" s="10">
        <v>18.600000000000001</v>
      </c>
      <c r="F35" s="10">
        <v>17.8</v>
      </c>
      <c r="H35" s="9">
        <v>45795</v>
      </c>
      <c r="I35" s="10">
        <v>20.9</v>
      </c>
      <c r="J35" s="10">
        <v>20.9</v>
      </c>
      <c r="K35" s="10">
        <v>21.2</v>
      </c>
    </row>
    <row r="36" spans="1:11" x14ac:dyDescent="0.2">
      <c r="A36" s="9">
        <v>45747</v>
      </c>
      <c r="E36" s="10">
        <v>18.75</v>
      </c>
      <c r="F36" s="10">
        <v>17.899999999999999</v>
      </c>
      <c r="H36" s="9">
        <v>45796</v>
      </c>
      <c r="I36" s="10">
        <v>21</v>
      </c>
      <c r="J36" s="10">
        <v>20.399999999999999</v>
      </c>
      <c r="K36" s="10">
        <v>20.7</v>
      </c>
    </row>
    <row r="37" spans="1:11" x14ac:dyDescent="0.2">
      <c r="A37" s="9">
        <v>45748</v>
      </c>
      <c r="F37" s="10">
        <v>17.8</v>
      </c>
      <c r="H37" s="9">
        <v>45797</v>
      </c>
      <c r="I37" s="10"/>
      <c r="J37" s="10"/>
      <c r="K37" s="10"/>
    </row>
    <row r="38" spans="1:11" x14ac:dyDescent="0.2">
      <c r="A38" s="9">
        <v>45749</v>
      </c>
      <c r="F38" s="10">
        <v>18</v>
      </c>
      <c r="H38" s="9">
        <v>45798</v>
      </c>
      <c r="I38" s="10">
        <v>21</v>
      </c>
      <c r="J38" s="10">
        <v>19.5</v>
      </c>
      <c r="K38" s="10">
        <v>20</v>
      </c>
    </row>
    <row r="39" spans="1:11" x14ac:dyDescent="0.2">
      <c r="A39" s="9">
        <v>45750</v>
      </c>
      <c r="F39" s="10">
        <v>17.8</v>
      </c>
      <c r="H39" s="9">
        <v>45799</v>
      </c>
      <c r="I39" s="10">
        <v>21.2</v>
      </c>
      <c r="J39" s="10">
        <v>20.3</v>
      </c>
      <c r="K39" s="10">
        <v>19.899999999999999</v>
      </c>
    </row>
    <row r="40" spans="1:11" x14ac:dyDescent="0.2">
      <c r="A40" s="9">
        <v>45751</v>
      </c>
      <c r="F40" s="10">
        <v>18.3</v>
      </c>
      <c r="H40" s="9">
        <v>45800</v>
      </c>
      <c r="I40" s="10">
        <v>21.4</v>
      </c>
      <c r="J40" s="10">
        <v>19.899999999999999</v>
      </c>
      <c r="K40" s="10">
        <v>20</v>
      </c>
    </row>
    <row r="41" spans="1:11" x14ac:dyDescent="0.2">
      <c r="A41" s="9">
        <v>45752</v>
      </c>
      <c r="F41" s="10">
        <v>18.100000000000001</v>
      </c>
      <c r="H41" s="9">
        <v>45801</v>
      </c>
      <c r="I41" s="10"/>
      <c r="J41" s="10"/>
      <c r="K41" s="10"/>
    </row>
    <row r="42" spans="1:11" x14ac:dyDescent="0.2">
      <c r="A42" s="9">
        <v>45753</v>
      </c>
      <c r="F42" s="10">
        <v>18</v>
      </c>
      <c r="H42" s="9">
        <v>45802</v>
      </c>
      <c r="I42" s="10"/>
      <c r="J42" s="10"/>
      <c r="K42" s="10"/>
    </row>
    <row r="43" spans="1:11" x14ac:dyDescent="0.2">
      <c r="A43" s="9"/>
      <c r="H43" s="9">
        <v>45803</v>
      </c>
      <c r="I43" s="10">
        <v>21.4</v>
      </c>
      <c r="J43" s="10">
        <v>20</v>
      </c>
      <c r="K43" s="10">
        <v>20.6</v>
      </c>
    </row>
    <row r="44" spans="1:11" x14ac:dyDescent="0.2">
      <c r="H44" s="9">
        <v>45804</v>
      </c>
      <c r="I44" s="10">
        <v>21.7</v>
      </c>
      <c r="J44" s="10">
        <v>20.100000000000001</v>
      </c>
      <c r="K44" s="10">
        <v>20.2</v>
      </c>
    </row>
    <row r="45" spans="1:11" x14ac:dyDescent="0.2">
      <c r="H45" s="9">
        <v>45805</v>
      </c>
      <c r="I45" s="10">
        <v>21.9</v>
      </c>
      <c r="J45" s="10">
        <v>20.399999999999999</v>
      </c>
      <c r="K45" s="10">
        <v>20.399999999999999</v>
      </c>
    </row>
    <row r="46" spans="1:11" x14ac:dyDescent="0.2">
      <c r="H46" s="9">
        <v>45806</v>
      </c>
      <c r="I46" s="10">
        <v>21.3</v>
      </c>
      <c r="J46" s="10">
        <v>20.3</v>
      </c>
      <c r="K46" s="10">
        <v>20.5</v>
      </c>
    </row>
    <row r="47" spans="1:11" x14ac:dyDescent="0.2">
      <c r="H47" s="9">
        <v>45807</v>
      </c>
      <c r="I47" s="10">
        <v>20.9</v>
      </c>
      <c r="J47" s="10">
        <v>19.8</v>
      </c>
      <c r="K47" s="10">
        <v>20.2</v>
      </c>
    </row>
    <row r="48" spans="1:11" x14ac:dyDescent="0.2">
      <c r="H48" s="9">
        <v>45808</v>
      </c>
      <c r="I48" s="10">
        <v>21.1</v>
      </c>
      <c r="J48" s="10">
        <v>19.8</v>
      </c>
      <c r="K48" s="10">
        <v>19.8</v>
      </c>
    </row>
    <row r="49" spans="8:11" x14ac:dyDescent="0.2">
      <c r="H49" s="9">
        <v>45809</v>
      </c>
      <c r="I49" s="10">
        <v>20.9</v>
      </c>
      <c r="J49" s="10">
        <v>20.3</v>
      </c>
      <c r="K49" s="10">
        <v>19.899999999999999</v>
      </c>
    </row>
    <row r="50" spans="8:11" x14ac:dyDescent="0.2">
      <c r="H50" s="9">
        <v>45810</v>
      </c>
      <c r="I50" s="10">
        <v>20.9</v>
      </c>
      <c r="J50" s="10">
        <v>19.899999999999999</v>
      </c>
      <c r="K50" s="10">
        <v>20</v>
      </c>
    </row>
    <row r="51" spans="8:11" x14ac:dyDescent="0.2">
      <c r="H51" s="9">
        <v>45811</v>
      </c>
      <c r="I51" s="10">
        <v>21.3</v>
      </c>
      <c r="J51" s="10">
        <v>19.7</v>
      </c>
      <c r="K51" s="10">
        <v>19.8</v>
      </c>
    </row>
    <row r="52" spans="8:11" x14ac:dyDescent="0.2">
      <c r="H52" s="9">
        <v>45812</v>
      </c>
      <c r="I52" s="10">
        <v>20.9</v>
      </c>
      <c r="J52" s="10">
        <v>20.9</v>
      </c>
      <c r="K52" s="10">
        <v>20.8</v>
      </c>
    </row>
    <row r="53" spans="8:11" x14ac:dyDescent="0.2">
      <c r="H53" s="9">
        <v>45813</v>
      </c>
      <c r="I53" s="10">
        <v>21.2</v>
      </c>
      <c r="J53" s="10">
        <v>20.8</v>
      </c>
      <c r="K53" s="10">
        <v>20.100000000000001</v>
      </c>
    </row>
    <row r="54" spans="8:11" x14ac:dyDescent="0.2">
      <c r="H54" s="9">
        <v>45814</v>
      </c>
      <c r="I54" s="10">
        <v>21.5</v>
      </c>
      <c r="J54" s="10">
        <v>20.9</v>
      </c>
      <c r="K54" s="10">
        <v>19.899999999999999</v>
      </c>
    </row>
    <row r="55" spans="8:11" x14ac:dyDescent="0.2">
      <c r="H55" s="9">
        <v>45815</v>
      </c>
      <c r="I55" s="10">
        <v>21.3</v>
      </c>
      <c r="J55" s="10">
        <v>20.9</v>
      </c>
      <c r="K55" s="10">
        <v>19.7</v>
      </c>
    </row>
    <row r="56" spans="8:11" x14ac:dyDescent="0.2">
      <c r="H56" s="9">
        <v>45816</v>
      </c>
      <c r="I56" s="10">
        <v>20.75</v>
      </c>
      <c r="J56" s="10">
        <v>20.9</v>
      </c>
      <c r="K56" s="10">
        <v>19.600000000000001</v>
      </c>
    </row>
    <row r="57" spans="8:11" x14ac:dyDescent="0.2">
      <c r="H57" s="9">
        <v>45817</v>
      </c>
      <c r="I57" s="10">
        <v>21</v>
      </c>
      <c r="J57" s="10">
        <v>20.8</v>
      </c>
      <c r="K57" s="10">
        <v>19.7</v>
      </c>
    </row>
    <row r="58" spans="8:11" x14ac:dyDescent="0.2">
      <c r="H58" s="9">
        <v>45818</v>
      </c>
      <c r="I58" s="10">
        <v>20.8</v>
      </c>
      <c r="J58" s="10">
        <v>21.1</v>
      </c>
      <c r="K58" s="10">
        <v>20.100000000000001</v>
      </c>
    </row>
    <row r="59" spans="8:11" x14ac:dyDescent="0.2">
      <c r="H59" s="9">
        <v>45819</v>
      </c>
      <c r="I59" s="10">
        <v>20.8</v>
      </c>
      <c r="J59" s="10">
        <v>20.7</v>
      </c>
      <c r="K59" s="10">
        <v>19.8</v>
      </c>
    </row>
    <row r="60" spans="8:11" x14ac:dyDescent="0.2">
      <c r="H60" s="9">
        <v>45820</v>
      </c>
      <c r="I60" s="10">
        <v>20.8</v>
      </c>
      <c r="J60" s="10">
        <v>20.399999999999999</v>
      </c>
      <c r="K60" s="10">
        <v>19.899999999999999</v>
      </c>
    </row>
    <row r="61" spans="8:11" x14ac:dyDescent="0.2">
      <c r="H61" s="9">
        <v>45821</v>
      </c>
      <c r="I61" s="10">
        <v>20.8</v>
      </c>
      <c r="J61" s="10">
        <v>20.399999999999999</v>
      </c>
      <c r="K61" s="10">
        <v>19.8</v>
      </c>
    </row>
    <row r="62" spans="8:11" x14ac:dyDescent="0.2">
      <c r="H62" s="9">
        <v>45822</v>
      </c>
      <c r="I62" s="10"/>
      <c r="J62" s="10"/>
      <c r="K62" s="10"/>
    </row>
    <row r="63" spans="8:11" x14ac:dyDescent="0.2">
      <c r="H63" s="9">
        <v>45823</v>
      </c>
      <c r="I63" s="10"/>
      <c r="J63" s="10"/>
      <c r="K63" s="10"/>
    </row>
    <row r="64" spans="8:11" x14ac:dyDescent="0.2">
      <c r="H64" s="9">
        <v>45824</v>
      </c>
      <c r="I64" s="10">
        <v>21.4</v>
      </c>
      <c r="J64" s="10">
        <v>21.6</v>
      </c>
      <c r="K64" s="10">
        <v>20.5</v>
      </c>
    </row>
    <row r="65" spans="8:11" x14ac:dyDescent="0.2">
      <c r="H65" s="9">
        <v>45825</v>
      </c>
      <c r="I65" s="10">
        <v>21</v>
      </c>
      <c r="J65" s="10">
        <v>20.9</v>
      </c>
      <c r="K65" s="10">
        <v>19.899999999999999</v>
      </c>
    </row>
    <row r="66" spans="8:11" x14ac:dyDescent="0.2">
      <c r="H66" s="9">
        <v>45826</v>
      </c>
      <c r="I66" s="10">
        <v>20.5</v>
      </c>
      <c r="J66" s="10">
        <v>20.9</v>
      </c>
      <c r="K66" s="10">
        <v>20</v>
      </c>
    </row>
    <row r="67" spans="8:11" x14ac:dyDescent="0.2">
      <c r="H67" s="9">
        <v>45827</v>
      </c>
      <c r="I67" s="10">
        <v>20.5</v>
      </c>
      <c r="J67" s="10">
        <v>20.399999999999999</v>
      </c>
      <c r="K67" s="10">
        <v>20.100000000000001</v>
      </c>
    </row>
    <row r="68" spans="8:11" x14ac:dyDescent="0.2">
      <c r="H68" s="9">
        <v>45828</v>
      </c>
      <c r="I68" s="10">
        <v>21</v>
      </c>
      <c r="J68" s="10">
        <v>20.7</v>
      </c>
      <c r="K68" s="10">
        <v>20.100000000000001</v>
      </c>
    </row>
    <row r="69" spans="8:11" x14ac:dyDescent="0.2">
      <c r="H69" s="9">
        <v>45829</v>
      </c>
      <c r="I69" s="10">
        <v>21.3</v>
      </c>
      <c r="J69" s="10">
        <v>20.9</v>
      </c>
      <c r="K69" s="10">
        <v>20.5</v>
      </c>
    </row>
    <row r="70" spans="8:11" x14ac:dyDescent="0.2">
      <c r="H70" s="9">
        <v>45830</v>
      </c>
      <c r="I70" s="10"/>
      <c r="J70" s="10"/>
      <c r="K70" s="10"/>
    </row>
    <row r="71" spans="8:11" x14ac:dyDescent="0.2">
      <c r="H71" s="9">
        <v>45831</v>
      </c>
      <c r="I71" s="10">
        <v>21.1</v>
      </c>
      <c r="J71" s="10">
        <v>20.9</v>
      </c>
      <c r="K71" s="10">
        <v>20.8</v>
      </c>
    </row>
    <row r="72" spans="8:11" x14ac:dyDescent="0.2">
      <c r="H72" s="9">
        <v>45832</v>
      </c>
      <c r="I72" s="10">
        <v>21.2</v>
      </c>
      <c r="J72" s="10">
        <v>20.7</v>
      </c>
      <c r="K72" s="10">
        <v>20.7</v>
      </c>
    </row>
    <row r="73" spans="8:11" x14ac:dyDescent="0.2">
      <c r="H73" s="9">
        <v>45833</v>
      </c>
      <c r="I73" s="10">
        <v>21.2</v>
      </c>
      <c r="J73" s="10">
        <v>21</v>
      </c>
      <c r="K73" s="10">
        <v>20.6</v>
      </c>
    </row>
    <row r="74" spans="8:11" x14ac:dyDescent="0.2">
      <c r="H74" s="9">
        <v>45834</v>
      </c>
      <c r="I74" s="10">
        <v>21.5</v>
      </c>
      <c r="J74" s="10">
        <v>21.1</v>
      </c>
      <c r="K74" s="10">
        <v>20.6</v>
      </c>
    </row>
    <row r="75" spans="8:11" x14ac:dyDescent="0.2">
      <c r="H75" s="9">
        <v>45835</v>
      </c>
      <c r="I75" s="10"/>
      <c r="J75" s="10"/>
      <c r="K75" s="10"/>
    </row>
    <row r="76" spans="8:11" x14ac:dyDescent="0.2">
      <c r="H76" s="9">
        <v>45836</v>
      </c>
      <c r="I76" s="10"/>
      <c r="J76" s="10"/>
      <c r="K76" s="10"/>
    </row>
    <row r="77" spans="8:11" x14ac:dyDescent="0.2">
      <c r="H77" s="9">
        <v>45837</v>
      </c>
      <c r="I77" s="10"/>
      <c r="J77" s="10"/>
      <c r="K77" s="10"/>
    </row>
    <row r="78" spans="8:11" x14ac:dyDescent="0.2">
      <c r="H78" s="9">
        <v>45838</v>
      </c>
      <c r="I78" s="10"/>
      <c r="J78" s="10"/>
      <c r="K78" s="10"/>
    </row>
    <row r="79" spans="8:11" x14ac:dyDescent="0.2">
      <c r="H79" s="9">
        <v>45839</v>
      </c>
      <c r="I79" s="10"/>
      <c r="J79" s="10"/>
      <c r="K79" s="10"/>
    </row>
    <row r="80" spans="8:11" x14ac:dyDescent="0.2">
      <c r="H80" s="9">
        <v>45840</v>
      </c>
      <c r="I80" s="10"/>
      <c r="J80" s="10">
        <v>21.7</v>
      </c>
      <c r="K80" s="10"/>
    </row>
    <row r="81" spans="8:11" x14ac:dyDescent="0.2">
      <c r="H81" s="9">
        <v>45841</v>
      </c>
      <c r="I81" s="10">
        <v>22.9</v>
      </c>
      <c r="J81" s="10">
        <v>21.6</v>
      </c>
      <c r="K81" s="10">
        <v>21.4</v>
      </c>
    </row>
    <row r="82" spans="8:11" x14ac:dyDescent="0.2">
      <c r="H82" s="9">
        <v>45842</v>
      </c>
      <c r="I82" s="10"/>
      <c r="J82" s="10"/>
      <c r="K82" s="10"/>
    </row>
    <row r="83" spans="8:11" x14ac:dyDescent="0.2">
      <c r="H83" s="9">
        <v>45843</v>
      </c>
      <c r="I83" s="10"/>
      <c r="J83" s="10"/>
      <c r="K83" s="10"/>
    </row>
    <row r="84" spans="8:11" x14ac:dyDescent="0.2">
      <c r="H84" s="9">
        <v>45844</v>
      </c>
      <c r="I84" s="10"/>
      <c r="J84" s="10"/>
      <c r="K84" s="10"/>
    </row>
    <row r="85" spans="8:11" x14ac:dyDescent="0.2">
      <c r="H85" s="9">
        <v>45845</v>
      </c>
      <c r="I85" s="10"/>
      <c r="J85" s="10"/>
      <c r="K85" s="10"/>
    </row>
    <row r="86" spans="8:11" x14ac:dyDescent="0.2">
      <c r="H86" s="9">
        <v>45846</v>
      </c>
      <c r="I86" s="10"/>
      <c r="J86" s="10"/>
      <c r="K86" s="10"/>
    </row>
    <row r="87" spans="8:11" x14ac:dyDescent="0.2">
      <c r="H87" s="9">
        <v>45847</v>
      </c>
      <c r="I87" s="10">
        <v>22.4</v>
      </c>
      <c r="J87" s="10">
        <v>21.4</v>
      </c>
      <c r="K87" s="10">
        <v>21</v>
      </c>
    </row>
    <row r="88" spans="8:11" x14ac:dyDescent="0.2">
      <c r="H88" s="9"/>
      <c r="I88" s="10"/>
      <c r="J88" s="10"/>
    </row>
    <row r="89" spans="8:11" x14ac:dyDescent="0.2">
      <c r="H89" s="9"/>
      <c r="I89" s="10"/>
      <c r="J89" s="10"/>
    </row>
    <row r="90" spans="8:11" x14ac:dyDescent="0.2">
      <c r="H90" s="9"/>
      <c r="I90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Stroke area raw</vt:lpstr>
      <vt:lpstr>Stroke area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Srikanth, Priya,MD, PhD</dc:creator>
  <cp:lastModifiedBy>Srikanth, Priya,MD, PhD</cp:lastModifiedBy>
  <dcterms:created xsi:type="dcterms:W3CDTF">2026-01-08T15:36:38Z</dcterms:created>
  <dcterms:modified xsi:type="dcterms:W3CDTF">2026-03-16T21:00:52Z</dcterms:modified>
</cp:coreProperties>
</file>